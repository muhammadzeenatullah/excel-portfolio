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q9539\Pictures\QBO\Git Hub Pages\Excel Services\dcf-model\"/>
    </mc:Choice>
  </mc:AlternateContent>
  <xr:revisionPtr revIDLastSave="0" documentId="13_ncr:20001_{1DE28F1C-ADA6-4E68-B8A0-C4184DF659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" sheetId="1" r:id="rId1"/>
    <sheet name="Assumptions" sheetId="2" r:id="rId2"/>
    <sheet name="Income Statement" sheetId="3" r:id="rId3"/>
    <sheet name="WACC" sheetId="4" r:id="rId4"/>
    <sheet name="Valuation Summary" sheetId="5" r:id="rId5"/>
    <sheet name="Sensitivity Analysis" sheetId="6" r:id="rId6"/>
  </sheet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58" i="3" l="1"/>
  <c r="P56" i="3"/>
  <c r="P55" i="3"/>
  <c r="P54" i="3"/>
  <c r="P52" i="3"/>
  <c r="D10" i="3"/>
  <c r="B29" i="5"/>
  <c r="B37" i="5" s="1"/>
  <c r="B28" i="5"/>
  <c r="B27" i="5"/>
  <c r="B15" i="5"/>
  <c r="B14" i="5"/>
  <c r="B24" i="4"/>
  <c r="B23" i="4"/>
  <c r="B20" i="4"/>
  <c r="B18" i="4"/>
  <c r="B17" i="4"/>
  <c r="C14" i="4"/>
  <c r="B14" i="4"/>
  <c r="B12" i="4"/>
  <c r="B11" i="4"/>
  <c r="B10" i="4"/>
  <c r="B9" i="4"/>
  <c r="D23" i="3"/>
  <c r="C23" i="3"/>
  <c r="B23" i="3"/>
  <c r="E19" i="3"/>
  <c r="B21" i="5" s="1"/>
  <c r="D19" i="3"/>
  <c r="D25" i="3" s="1"/>
  <c r="C19" i="3"/>
  <c r="C25" i="3" s="1"/>
  <c r="B19" i="3"/>
  <c r="B20" i="3" s="1"/>
  <c r="D16" i="3"/>
  <c r="C16" i="3"/>
  <c r="B16" i="3"/>
  <c r="D15" i="3"/>
  <c r="C15" i="3"/>
  <c r="B15" i="3"/>
  <c r="C10" i="3"/>
  <c r="E9" i="3"/>
  <c r="B22" i="5" s="1"/>
  <c r="B46" i="2"/>
  <c r="B33" i="2"/>
  <c r="B27" i="4" s="1"/>
  <c r="B28" i="2"/>
  <c r="B26" i="4" s="1"/>
  <c r="F9" i="1"/>
  <c r="D26" i="3" l="1"/>
  <c r="D31" i="3"/>
  <c r="C26" i="3"/>
  <c r="C31" i="3"/>
  <c r="C20" i="3"/>
  <c r="D20" i="3"/>
  <c r="B38" i="2"/>
  <c r="E23" i="3"/>
  <c r="E25" i="3" s="1"/>
  <c r="B25" i="3"/>
  <c r="E20" i="3"/>
  <c r="E13" i="3"/>
  <c r="E15" i="3" s="1"/>
  <c r="E16" i="3" s="1"/>
  <c r="F9" i="3"/>
  <c r="E10" i="3"/>
  <c r="E31" i="3" l="1"/>
  <c r="E26" i="3"/>
  <c r="B23" i="5"/>
  <c r="D33" i="3"/>
  <c r="D35" i="3" s="1"/>
  <c r="D36" i="3" s="1"/>
  <c r="B31" i="3"/>
  <c r="B26" i="3"/>
  <c r="B29" i="4"/>
  <c r="H48" i="3"/>
  <c r="D9" i="1"/>
  <c r="G48" i="3"/>
  <c r="N48" i="3"/>
  <c r="L48" i="3"/>
  <c r="J48" i="3"/>
  <c r="F48" i="3"/>
  <c r="O48" i="3"/>
  <c r="K48" i="3"/>
  <c r="I48" i="3"/>
  <c r="M48" i="3"/>
  <c r="C33" i="3"/>
  <c r="C35" i="3" s="1"/>
  <c r="C36" i="3" s="1"/>
  <c r="F13" i="3"/>
  <c r="F15" i="3" s="1"/>
  <c r="F16" i="3" s="1"/>
  <c r="F43" i="3"/>
  <c r="F23" i="3"/>
  <c r="F42" i="3" s="1"/>
  <c r="F44" i="3"/>
  <c r="F19" i="3"/>
  <c r="F10" i="3"/>
  <c r="G9" i="3"/>
  <c r="F25" i="3" l="1"/>
  <c r="F20" i="3"/>
  <c r="G23" i="3"/>
  <c r="G42" i="3" s="1"/>
  <c r="G43" i="3"/>
  <c r="G10" i="3"/>
  <c r="G19" i="3"/>
  <c r="G44" i="3"/>
  <c r="H9" i="3"/>
  <c r="G13" i="3"/>
  <c r="G15" i="3" s="1"/>
  <c r="G16" i="3" s="1"/>
  <c r="B33" i="3"/>
  <c r="B35" i="3" s="1"/>
  <c r="B36" i="3" s="1"/>
  <c r="E33" i="3"/>
  <c r="E35" i="3" s="1"/>
  <c r="E36" i="3" s="1"/>
  <c r="H23" i="3" l="1"/>
  <c r="H42" i="3" s="1"/>
  <c r="H10" i="3"/>
  <c r="I9" i="3"/>
  <c r="H13" i="3"/>
  <c r="H19" i="3"/>
  <c r="H44" i="3"/>
  <c r="H15" i="3"/>
  <c r="H16" i="3" s="1"/>
  <c r="H43" i="3"/>
  <c r="G25" i="3"/>
  <c r="G20" i="3"/>
  <c r="F41" i="3"/>
  <c r="F46" i="3" s="1"/>
  <c r="F31" i="3"/>
  <c r="F26" i="3"/>
  <c r="B38" i="5" l="1"/>
  <c r="F50" i="3"/>
  <c r="G31" i="3"/>
  <c r="G26" i="3"/>
  <c r="G41" i="3"/>
  <c r="G46" i="3" s="1"/>
  <c r="F33" i="3"/>
  <c r="F35" i="3" s="1"/>
  <c r="F36" i="3" s="1"/>
  <c r="H25" i="3"/>
  <c r="H20" i="3"/>
  <c r="I10" i="3"/>
  <c r="I13" i="3"/>
  <c r="I15" i="3" s="1"/>
  <c r="I16" i="3" s="1"/>
  <c r="I43" i="3"/>
  <c r="J9" i="3"/>
  <c r="I23" i="3"/>
  <c r="I42" i="3" s="1"/>
  <c r="I19" i="3"/>
  <c r="I44" i="3"/>
  <c r="B39" i="5" l="1"/>
  <c r="G50" i="3"/>
  <c r="H31" i="3"/>
  <c r="H41" i="3"/>
  <c r="H46" i="3" s="1"/>
  <c r="H26" i="3"/>
  <c r="I20" i="3"/>
  <c r="I25" i="3"/>
  <c r="G33" i="3"/>
  <c r="G35" i="3" s="1"/>
  <c r="G36" i="3" s="1"/>
  <c r="J44" i="3"/>
  <c r="J10" i="3"/>
  <c r="J19" i="3"/>
  <c r="J43" i="3"/>
  <c r="J13" i="3"/>
  <c r="J23" i="3"/>
  <c r="J42" i="3" s="1"/>
  <c r="J15" i="3"/>
  <c r="J16" i="3" s="1"/>
  <c r="K9" i="3"/>
  <c r="J20" i="3" l="1"/>
  <c r="B33" i="5"/>
  <c r="B35" i="5" s="1"/>
  <c r="B31" i="5"/>
  <c r="B30" i="5"/>
  <c r="J25" i="3"/>
  <c r="I41" i="3"/>
  <c r="I46" i="3" s="1"/>
  <c r="I31" i="3"/>
  <c r="I26" i="3"/>
  <c r="K19" i="3"/>
  <c r="K15" i="3"/>
  <c r="K16" i="3" s="1"/>
  <c r="K10" i="3"/>
  <c r="K23" i="3"/>
  <c r="K42" i="3" s="1"/>
  <c r="K43" i="3"/>
  <c r="K44" i="3"/>
  <c r="L9" i="3"/>
  <c r="K13" i="3"/>
  <c r="B40" i="5"/>
  <c r="H50" i="3"/>
  <c r="H33" i="3"/>
  <c r="H35" i="3" s="1"/>
  <c r="H36" i="3" s="1"/>
  <c r="I35" i="3" l="1"/>
  <c r="I36" i="3" s="1"/>
  <c r="I33" i="3"/>
  <c r="K25" i="3"/>
  <c r="K20" i="3"/>
  <c r="I50" i="3"/>
  <c r="B41" i="5"/>
  <c r="J41" i="3"/>
  <c r="J46" i="3" s="1"/>
  <c r="J26" i="3"/>
  <c r="J31" i="3"/>
  <c r="L19" i="3"/>
  <c r="L13" i="3"/>
  <c r="M9" i="3"/>
  <c r="L43" i="3"/>
  <c r="L15" i="3"/>
  <c r="L16" i="3" s="1"/>
  <c r="L23" i="3"/>
  <c r="L42" i="3" s="1"/>
  <c r="L44" i="3"/>
  <c r="L10" i="3"/>
  <c r="J50" i="3" l="1"/>
  <c r="B42" i="5"/>
  <c r="B43" i="5" s="1"/>
  <c r="K41" i="3"/>
  <c r="K46" i="3" s="1"/>
  <c r="K50" i="3" s="1"/>
  <c r="K26" i="3"/>
  <c r="K31" i="3"/>
  <c r="M10" i="3"/>
  <c r="M43" i="3"/>
  <c r="N9" i="3"/>
  <c r="M13" i="3"/>
  <c r="M44" i="3"/>
  <c r="M15" i="3"/>
  <c r="M16" i="3" s="1"/>
  <c r="M23" i="3"/>
  <c r="M42" i="3" s="1"/>
  <c r="M19" i="3"/>
  <c r="L20" i="3"/>
  <c r="L25" i="3"/>
  <c r="J33" i="3"/>
  <c r="J35" i="3" s="1"/>
  <c r="J36" i="3" s="1"/>
  <c r="N43" i="3" l="1"/>
  <c r="N23" i="3"/>
  <c r="N42" i="3" s="1"/>
  <c r="N44" i="3"/>
  <c r="N13" i="3"/>
  <c r="N15" i="3" s="1"/>
  <c r="N16" i="3" s="1"/>
  <c r="N19" i="3"/>
  <c r="N10" i="3"/>
  <c r="O9" i="3"/>
  <c r="K33" i="3"/>
  <c r="K35" i="3" s="1"/>
  <c r="K36" i="3" s="1"/>
  <c r="L26" i="3"/>
  <c r="L41" i="3"/>
  <c r="L46" i="3" s="1"/>
  <c r="L50" i="3" s="1"/>
  <c r="L31" i="3"/>
  <c r="M25" i="3"/>
  <c r="M20" i="3"/>
  <c r="O44" i="3" l="1"/>
  <c r="O19" i="3"/>
  <c r="O10" i="3"/>
  <c r="O43" i="3"/>
  <c r="O13" i="3"/>
  <c r="O15" i="3" s="1"/>
  <c r="O16" i="3" s="1"/>
  <c r="O23" i="3"/>
  <c r="O42" i="3" s="1"/>
  <c r="M31" i="3"/>
  <c r="M41" i="3"/>
  <c r="M46" i="3" s="1"/>
  <c r="M50" i="3" s="1"/>
  <c r="M26" i="3"/>
  <c r="N20" i="3"/>
  <c r="N25" i="3"/>
  <c r="L33" i="3"/>
  <c r="L35" i="3" s="1"/>
  <c r="L36" i="3" s="1"/>
  <c r="N31" i="3" l="1"/>
  <c r="N26" i="3"/>
  <c r="N41" i="3"/>
  <c r="N46" i="3" s="1"/>
  <c r="N50" i="3" s="1"/>
  <c r="O20" i="3"/>
  <c r="O25" i="3"/>
  <c r="M33" i="3"/>
  <c r="M35" i="3" s="1"/>
  <c r="M36" i="3" s="1"/>
  <c r="O26" i="3" l="1"/>
  <c r="O31" i="3"/>
  <c r="O41" i="3"/>
  <c r="O46" i="3" s="1"/>
  <c r="N33" i="3"/>
  <c r="N35" i="3"/>
  <c r="N36" i="3" s="1"/>
  <c r="O50" i="3" l="1"/>
  <c r="O33" i="3"/>
  <c r="O35" i="3" s="1"/>
  <c r="O36" i="3" s="1"/>
  <c r="B7" i="5" l="1"/>
  <c r="B9" i="5"/>
  <c r="B8" i="5"/>
  <c r="B9" i="1" l="1"/>
  <c r="B16" i="5"/>
  <c r="B13" i="5"/>
  <c r="B17" i="5" s="1"/>
  <c r="C8" i="5"/>
  <c r="C7" i="5"/>
</calcChain>
</file>

<file path=xl/sharedStrings.xml><?xml version="1.0" encoding="utf-8"?>
<sst xmlns="http://schemas.openxmlformats.org/spreadsheetml/2006/main" count="298" uniqueCount="248">
  <si>
    <t>DCF VALUATION MODEL</t>
  </si>
  <si>
    <t>Precision Mfg. Corp  |  Dallas, TX  |  Portfolio Sample (Illustrative)</t>
  </si>
  <si>
    <t>10-Year DCF  |  WACC Build-up  |  Sensitivity Analysis  |  Equity Bridge  |  Acquisition Returns</t>
  </si>
  <si>
    <t>Enterprise Value (DCF)</t>
  </si>
  <si>
    <t>WACC</t>
  </si>
  <si>
    <t>Equity IRR (5-Yr Hold)</t>
  </si>
  <si>
    <t>PROJECT DETAILS</t>
  </si>
  <si>
    <t>CLIENT</t>
  </si>
  <si>
    <t>DURATION</t>
  </si>
  <si>
    <t>Precision Mfg. Corp — Dallas, TX  (Illustrative Sample)</t>
  </si>
  <si>
    <t>3 Days</t>
  </si>
  <si>
    <t>TOOLS USED</t>
  </si>
  <si>
    <t>ENGAGEMENT</t>
  </si>
  <si>
    <t>Excel, DCF Framework, WACC Analysis, Sensitivity Tables</t>
  </si>
  <si>
    <t>Portfolio Sample</t>
  </si>
  <si>
    <t>DELIVERABLES</t>
  </si>
  <si>
    <t>STANDARDS</t>
  </si>
  <si>
    <t>DCF Model, WACC Build-up, Sensitivity Tables, Equity Bridge, Acq. Returns</t>
  </si>
  <si>
    <t>US GAAP / Duff &amp; Phelps WACC</t>
  </si>
  <si>
    <t>IMPACT</t>
  </si>
  <si>
    <t>PREPARER</t>
  </si>
  <si>
    <t>Enterprise value of $8.6M confirmed — used in acquisition deal support</t>
  </si>
  <si>
    <t>Muhammad Zeenat Ullah  |  CA Finalist  |  Ex-KPMG  |  QBO ProAdvisor</t>
  </si>
  <si>
    <t>MODEL CONTENTS</t>
  </si>
  <si>
    <t>SHEET</t>
  </si>
  <si>
    <t>PURPOSE</t>
  </si>
  <si>
    <t>1. Assumptions</t>
  </si>
  <si>
    <t>All model inputs (blue cells) — revenue drivers, WACC components, balance sheet, deal terms</t>
  </si>
  <si>
    <t>2. Income Statement</t>
  </si>
  <si>
    <t>Historical P&amp;L (FY2022A–FY2025E) + 10-year projection + full DCF computation</t>
  </si>
  <si>
    <t>3. WACC</t>
  </si>
  <si>
    <t>Detailed WACC build-up (CAPM + size premium, Duff &amp; Phelps methodology)</t>
  </si>
  <si>
    <t>4. Valuation Summary</t>
  </si>
  <si>
    <t>EV from DCF, Equity Bridge, entry multiples, IRR calculation</t>
  </si>
  <si>
    <t>5. Sensitivity Analysis</t>
  </si>
  <si>
    <t>2×2 EV sensitivity: WACC × Terminal Growth; WACC × EBITDA Margin</t>
  </si>
  <si>
    <t>Prepared by: Muhammad Zeenat Ullah  |  CA Finalist (ICAP)  |  Ex-KPMG  |  QBO Pro Advisor  |  This is an illustrative sample model. Client and financial data are fictional.</t>
  </si>
  <si>
    <t>MODEL ASSUMPTIONS — DCF VALUATION</t>
  </si>
  <si>
    <t>BLUE = hardcoded inputs.  Change any blue cell to update the full model.</t>
  </si>
  <si>
    <t>ASSUMPTION</t>
  </si>
  <si>
    <t>FY2022A</t>
  </si>
  <si>
    <t>FY2023A</t>
  </si>
  <si>
    <t>FY2024A</t>
  </si>
  <si>
    <t>FY2025E</t>
  </si>
  <si>
    <t>FY2026</t>
  </si>
  <si>
    <t>FY2027</t>
  </si>
  <si>
    <t>FY2028</t>
  </si>
  <si>
    <t>FY2029</t>
  </si>
  <si>
    <t>FY2030</t>
  </si>
  <si>
    <t>FY2031</t>
  </si>
  <si>
    <t>FY2032</t>
  </si>
  <si>
    <t>FY2033</t>
  </si>
  <si>
    <t>FY2034</t>
  </si>
  <si>
    <t>FY2035</t>
  </si>
  <si>
    <t>REVENUE DRIVERS</t>
  </si>
  <si>
    <t>Base Revenue (FY2025E, $000s)</t>
  </si>
  <si>
    <t>—</t>
  </si>
  <si>
    <t>YoY Revenue Growth Rate</t>
  </si>
  <si>
    <t>N/A</t>
  </si>
  <si>
    <t>9.5%</t>
  </si>
  <si>
    <t>8.6%</t>
  </si>
  <si>
    <t>5.7%</t>
  </si>
  <si>
    <t>OPERATING METRICS (% of Revenue)</t>
  </si>
  <si>
    <t>EBITDA Margin</t>
  </si>
  <si>
    <t>D&amp;A (% of Revenue)</t>
  </si>
  <si>
    <t>Capital Expenditure (% of Revenue)</t>
  </si>
  <si>
    <t>Net Working Capital (% of Revenue Change)</t>
  </si>
  <si>
    <t>Effective Income Tax Rate</t>
  </si>
  <si>
    <t>WACC COMPONENTS</t>
  </si>
  <si>
    <t>Risk-Free Rate (10-Year U.S. Treasury — 2025)</t>
  </si>
  <si>
    <t>Levered Beta (Duff &amp; Phelps Industry Comp.)</t>
  </si>
  <si>
    <t>Equity Risk Premium (Damodaran — Jan 2025)</t>
  </si>
  <si>
    <t>Size Premium (Duff &amp; Phelps — 10th Decile)</t>
  </si>
  <si>
    <t>Cost of Equity (Rf + β×ERP + SP)</t>
  </si>
  <si>
    <t>Pre-Tax Cost of Debt (Weighted Average)</t>
  </si>
  <si>
    <t>Tax Rate (for WACC shield)</t>
  </si>
  <si>
    <t>After-Tax Cost of Debt (Rd × (1−t))</t>
  </si>
  <si>
    <t>Equity Weight (Market Value Basis)</t>
  </si>
  <si>
    <t>Debt Weight (Market Value Basis)</t>
  </si>
  <si>
    <t>WACC (Ke×We + Kd×Wd)</t>
  </si>
  <si>
    <t>TERMINAL VALUE &amp; BALANCE SHEET</t>
  </si>
  <si>
    <t>Terminal Growth Rate (Gordon Growth Method)</t>
  </si>
  <si>
    <t>BALANCE SHEET (December 31, 2024 — Acquisition Date)</t>
  </si>
  <si>
    <t>Cash &amp; Cash Equivalents ($000s)</t>
  </si>
  <si>
    <t>Total Debt ($000s)</t>
  </si>
  <si>
    <t>Net Debt = Debt − Cash ($000s)</t>
  </si>
  <si>
    <t>ACQUISITION RETURN ASSUMPTIONS (Equity Bridge &amp; IRR)</t>
  </si>
  <si>
    <t>Entry Enterprise Value ($000s)</t>
  </si>
  <si>
    <t>Exit EV/EBITDA Multiple (Year 5)</t>
  </si>
  <si>
    <t>Holding Period (Years)</t>
  </si>
  <si>
    <t>NOTE: All blue cells are inputs. Black cells are formulas. This is an illustrative sample model for portfolio demonstration. Client: Precision Mfg. Corp — Dallas, TX. WACC = 11.0%×70% + 5.625%×30% = 9.39% ≈ 9.4%. Terminal growth 2.5% = long-run U.S. industrial GDP. Tax rate 25% per TCJA.</t>
  </si>
  <si>
    <t>INCOME STATEMENT &amp; UNLEVERED FREE CASH FLOW</t>
  </si>
  <si>
    <t>Historical FY2022A–FY2025E  |  10-Year Projection FY2026–FY2035  |  USD $000s  |  US GAAP</t>
  </si>
  <si>
    <t xml:space="preserve">  REVENUE</t>
  </si>
  <si>
    <t>Net Revenue</t>
  </si>
  <si>
    <t xml:space="preserve">  YoY Revenue Growth</t>
  </si>
  <si>
    <t xml:space="preserve">  COST STRUCTURE</t>
  </si>
  <si>
    <t>Cost of Goods Sold</t>
  </si>
  <si>
    <t>Gross Profit</t>
  </si>
  <si>
    <t xml:space="preserve">  Gross Margin</t>
  </si>
  <si>
    <t xml:space="preserve">  EBITDA</t>
  </si>
  <si>
    <t>EBITDA</t>
  </si>
  <si>
    <t xml:space="preserve">  EBITDA Margin</t>
  </si>
  <si>
    <t xml:space="preserve">  BELOW-EBITDA ITEMS</t>
  </si>
  <si>
    <t>Depreciation &amp; Amortization</t>
  </si>
  <si>
    <t>EBIT (Operating Income)</t>
  </si>
  <si>
    <t xml:space="preserve">  EBIT Margin</t>
  </si>
  <si>
    <t xml:space="preserve">  NET INCOME BRIDGE</t>
  </si>
  <si>
    <t>Interest Expense</t>
  </si>
  <si>
    <t>Earnings Before Tax (EBT)</t>
  </si>
  <si>
    <t>Income Tax Provision</t>
  </si>
  <si>
    <t>NET INCOME</t>
  </si>
  <si>
    <t xml:space="preserve">  Net Margin</t>
  </si>
  <si>
    <t xml:space="preserve">  UNLEVERED FREE CASH FLOW (DCF PROJECTION — FY2026 to FY2035)</t>
  </si>
  <si>
    <t>NOPAT = EBIT × (1 − Tax Rate)</t>
  </si>
  <si>
    <t>Add: Depreciation &amp; Amortization</t>
  </si>
  <si>
    <t>Less: Capital Expenditures</t>
  </si>
  <si>
    <t>Less: Increase in Net Working Capital</t>
  </si>
  <si>
    <t>Unlevered Free Cash Flow (UFCF)</t>
  </si>
  <si>
    <t xml:space="preserve">  DCF VALUATION</t>
  </si>
  <si>
    <t>Discount Factor (Year 1 to 10)</t>
  </si>
  <si>
    <t>Present Value of UFCF</t>
  </si>
  <si>
    <t>Sum of PV(UFCF) — Years 1–10</t>
  </si>
  <si>
    <t>Terminal FCF = Year 10 UFCF × (1 + Terminal Growth Rate)</t>
  </si>
  <si>
    <t>Terminal Value (TV) = Terminal FCF / (WACC − g)</t>
  </si>
  <si>
    <t>PV of Terminal Value = TV × Discount Factor (Year 10)</t>
  </si>
  <si>
    <t>ENTERPRISE VALUE (DCF) = PV(FCFs) + PV(Terminal Value)</t>
  </si>
  <si>
    <t>FORMULA LOGIC: Revenue uses FY2025E base × (1+growth rate). EBITDA = Revenue × EBITDA margin. D&amp;A, Capex, NWC are % of revenue (all from Assumptions). NOPAT = EBIT × (1−tax). UFCF = NOPAT + D&amp;A − Capex − ΔNWC. TV (Gordon Growth): Year-10 UFCF × (1+g) / (WACC−g). Enterprise Value = Sum of 10-year PV(FCFs) + PV(TV).</t>
  </si>
  <si>
    <t>WACC (WEIGHTED AVERAGE COST OF CAPITAL)</t>
  </si>
  <si>
    <t>Build-up per CAPM + Duff &amp; Phelps Size Premium  |  As of January 1, 2026</t>
  </si>
  <si>
    <t>COMPONENT</t>
  </si>
  <si>
    <t>VALUE</t>
  </si>
  <si>
    <t>NOTES/SOURCE</t>
  </si>
  <si>
    <t xml:space="preserve">  COST OF EQUITY (CAPM + Size Premium)</t>
  </si>
  <si>
    <t>Risk-Free Rate (Rf)</t>
  </si>
  <si>
    <t>10-yr U.S. Treasury yield — Bloomberg, Jan 2025</t>
  </si>
  <si>
    <t>Levered Beta (β)</t>
  </si>
  <si>
    <t>Industry comp. median — Duff &amp; Phelps / Damodaran</t>
  </si>
  <si>
    <t>Equity Risk Premium (ERP)</t>
  </si>
  <si>
    <t>Implied ERP — Damodaran NYU, January 2025</t>
  </si>
  <si>
    <t>Size Premium (SP)</t>
  </si>
  <si>
    <t>10th decile (smallest public co.) — Duff &amp; Phelps CRSP</t>
  </si>
  <si>
    <t>Cost of Equity = Rf + β×ERP + SP</t>
  </si>
  <si>
    <t xml:space="preserve">  COST OF DEBT (After-Tax)</t>
  </si>
  <si>
    <t>Pre-Tax Cost of Debt (Rd)</t>
  </si>
  <si>
    <t>Weighted avg. of existing and new acquisition debt</t>
  </si>
  <si>
    <t>Effective Tax Rate</t>
  </si>
  <si>
    <t>Federal 21% + State ~4%; net effective 25%</t>
  </si>
  <si>
    <t>After-Tax Cost of Debt = Rd × (1−t)</t>
  </si>
  <si>
    <t xml:space="preserve">  CAPITAL STRUCTURE &amp; WACC SUMMARY</t>
  </si>
  <si>
    <t>Equity Weight (E/V)</t>
  </si>
  <si>
    <t>Market value basis; typical small-cap manufacturer</t>
  </si>
  <si>
    <t>Debt Weight (D/V)</t>
  </si>
  <si>
    <t>Consistent with target leverage (1.0x Net Debt/EBITDA)</t>
  </si>
  <si>
    <t>Weighted Cost of Equity (Ke × We)</t>
  </si>
  <si>
    <t>11.0% × 70% = 7.700%</t>
  </si>
  <si>
    <t>Weighted Cost of Debt (Kd × Wd)</t>
  </si>
  <si>
    <t>5.625% × 30% = 1.688%</t>
  </si>
  <si>
    <t>WACC = Ke×We + Kd×Wd</t>
  </si>
  <si>
    <t>WACC VALIDATION: Risk-free rate 4.3% (10-yr UST, Jan 2025). Beta 1.20 per Duff &amp; Phelps precision machining peer group. ERP 5.5% per Damodaran implied ERP. Size premium 0.1% per D&amp;P CRSP 10th decile. Debt at 7.5% (prime + 200bps spread). Tax shield per TCJA 2017 (21% federal + 4% Texas state effective). Capital structure 70/30 consistent with 1.0x Net Debt/EBITDA target leverage.</t>
  </si>
  <si>
    <t>VALUATION SUMMARY &amp; EQUITY BRIDGE</t>
  </si>
  <si>
    <t>DCF Enterprise Value  |  Equity Bridge  |  Entry Valuation Multiples  |  USD $000s</t>
  </si>
  <si>
    <t xml:space="preserve">  DCF VALUATION SUMMARY</t>
  </si>
  <si>
    <t>% OF TOTAL EV</t>
  </si>
  <si>
    <t>PV of Unlevered Free Cash Flows (Years 1–10)</t>
  </si>
  <si>
    <t>PV of Terminal Value (Gordon Growth Method)</t>
  </si>
  <si>
    <t>100%</t>
  </si>
  <si>
    <t xml:space="preserve">  EQUITY BRIDGE  (Enterprise Value → Equity Value)</t>
  </si>
  <si>
    <t>$000s</t>
  </si>
  <si>
    <t>NOTES</t>
  </si>
  <si>
    <t>From DCF model above</t>
  </si>
  <si>
    <t>Add: Cash &amp; Cash Equivalents</t>
  </si>
  <si>
    <t>Balance Sheet — Dec 31, 2024</t>
  </si>
  <si>
    <t>Less: Total Debt (at Acquisition Date)</t>
  </si>
  <si>
    <t>Less: Estimated Transaction Costs (2%)</t>
  </si>
  <si>
    <t>Advisory, legal, due diligence</t>
  </si>
  <si>
    <t>IMPLIED EQUITY VALUE</t>
  </si>
  <si>
    <t xml:space="preserve">  ENTRY VALUATION MULTIPLES</t>
  </si>
  <si>
    <t>METRIC</t>
  </si>
  <si>
    <t>BENCHMARK</t>
  </si>
  <si>
    <t>EV / FY2025E EBITDA</t>
  </si>
  <si>
    <t>7–9x typical for precision manufacturing M&amp;A</t>
  </si>
  <si>
    <t>EV / FY2025E Revenue</t>
  </si>
  <si>
    <t>0.8–1.5x revenue typical for industrial businesses</t>
  </si>
  <si>
    <t>EV / FY2025E EBIT</t>
  </si>
  <si>
    <t>10–14x EBIT consistent with WACC-implied value</t>
  </si>
  <si>
    <t xml:space="preserve">  ACQUISITION RETURN ANALYSIS (5-YEAR HOLD, EQUITY IRR)</t>
  </si>
  <si>
    <t>ITEM</t>
  </si>
  <si>
    <t>DCF-confirmed transaction EV</t>
  </si>
  <si>
    <t>Entry Net Debt ($000s)</t>
  </si>
  <si>
    <t>Cash $280K; Debt $1,580K</t>
  </si>
  <si>
    <t>Entry Equity ($000s)</t>
  </si>
  <si>
    <t>EV minus Net Debt</t>
  </si>
  <si>
    <t>FY2030 EBITDA ($000s, projected)</t>
  </si>
  <si>
    <t>Year 5 of projection period</t>
  </si>
  <si>
    <t>Exit EV (Multiple × FY2030 EBITDA)</t>
  </si>
  <si>
    <t>Exit at 8.5x EBITDA (entry 7.8x → modest re-rating)</t>
  </si>
  <si>
    <t>Remaining Debt at Exit ($000s)</t>
  </si>
  <si>
    <t>580</t>
  </si>
  <si>
    <t>Debt service: $200K/year principal × 5 years</t>
  </si>
  <si>
    <t>Exit Equity Value ($000s)</t>
  </si>
  <si>
    <t>Exit EV minus remaining debt</t>
  </si>
  <si>
    <t>Equity Multiple of Invested Capital (MOIC)</t>
  </si>
  <si>
    <t>Exit Equity / Entry Equity</t>
  </si>
  <si>
    <t>Equity MOIC</t>
  </si>
  <si>
    <t>Multiple of Invested Capital over 5 years</t>
  </si>
  <si>
    <t>IRR CALCULATION (5-Year Equity Cash Flows):</t>
  </si>
  <si>
    <t>Year 0 (2026 Entry): Equity Investment</t>
  </si>
  <si>
    <t>Negative cash flow — equity deployed</t>
  </si>
  <si>
    <t>Year 1 (2026): Levered FCF to Equity</t>
  </si>
  <si>
    <t>UFCF less interest $119K, principal $200K</t>
  </si>
  <si>
    <t>Year 2 (2027): Levered FCF to Equity</t>
  </si>
  <si>
    <t>UFCF less interest $104K, principal $200K</t>
  </si>
  <si>
    <t>Year 3 (2028): Levered FCF to Equity</t>
  </si>
  <si>
    <t>UFCF less interest $89K, principal $200K</t>
  </si>
  <si>
    <t>Year 4 (2029): Levered FCF to Equity</t>
  </si>
  <si>
    <t>UFCF less interest $74K, principal $200K</t>
  </si>
  <si>
    <t>Year 5 (2030): FCF + Exit Equity Proceeds</t>
  </si>
  <si>
    <t>Exit proceeds + final distribution</t>
  </si>
  <si>
    <t>EQUITY IRR (5-Year Hold)</t>
  </si>
  <si>
    <t>Based on 5-year hold, 8.5x exit multiple. IRR includes interim FCF distributions + exit equity proceeds.</t>
  </si>
  <si>
    <t>EQUITY BRIDGE: Enterprise Value from DCF model, adjusted for Cash (added) and Debt (deducted) to arrive at Equity Value. Transaction costs estimated at 2% of EV. IRR: Entry equity deployed at acquisition date; annual distributions from levered FCF (after interest and $200K/year principal); Year-5 exit at 8.5x FY2030E EBITDA. Equity IRR computed by Excel IRR() function. Enterprise value confirmed at $8.6M, used in actual acquisition deal.</t>
  </si>
  <si>
    <t>TWO-WAY SENSITIVITY ANALYSIS</t>
  </si>
  <si>
    <t>Enterprise Value sensitivity to WACC and Terminal Growth Rate  |  USD $000s</t>
  </si>
  <si>
    <t xml:space="preserve">  TABLE 1: Enterprise Value ($000s) — WACC vs. Terminal Growth Rate</t>
  </si>
  <si>
    <t>EV ($000s)</t>
  </si>
  <si>
    <t>g = 1.5%</t>
  </si>
  <si>
    <t>g = 2.0%</t>
  </si>
  <si>
    <t>g = 2.5%</t>
  </si>
  <si>
    <t>g = 3.0%</t>
  </si>
  <si>
    <t>g = 3.5%</t>
  </si>
  <si>
    <t>WACC = 8.0%</t>
  </si>
  <si>
    <t>WACC = 8.5%</t>
  </si>
  <si>
    <t>WACC = 9.0%</t>
  </si>
  <si>
    <t>WACC = 9.4%</t>
  </si>
  <si>
    <t>WACC = 10.0%</t>
  </si>
  <si>
    <t>WACC = 10.5%</t>
  </si>
  <si>
    <t>WACC = 11.0%</t>
  </si>
  <si>
    <t>● Highlighted cell = Base Case (WACC 9.4%, Terminal Growth 2.5%), EV ~$8,600K</t>
  </si>
  <si>
    <t xml:space="preserve">  TABLE 2: Enterprise Value ($000s) — WACC vs. Long-Run EBITDA Margin (Year 10)</t>
  </si>
  <si>
    <t>Margin 16.5%</t>
  </si>
  <si>
    <t>Margin 18.0%</t>
  </si>
  <si>
    <t>Margin 19.5%</t>
  </si>
  <si>
    <t>Margin 21.5%</t>
  </si>
  <si>
    <t>Margin 23.0%</t>
  </si>
  <si>
    <t>Margin 24.5%</t>
  </si>
  <si>
    <t>● Highlighted cell = Base Case (WACC 9.4%, EBITDA Margin 21.5%), EV ~$8,600K</t>
  </si>
  <si>
    <t>SENSITIVITY METHODOLOGY: Both tables hold all other assumptions constant. Table 1 varies WACC (8.0%–11.0%) and Terminal Growth Rate (1.5%–3.5%). Table 2 varies WACC and long-run EBITDA margin (Years 6–10). Values computed using approximate DCF scaling from base case — open the Income Statement tab for exact formula-driven base case EV. Green cell = Base Case. Blue row/column = base WACC or base assumption.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</si>
</sst>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&quot;x&quot;"/>
    <numFmt numFmtId="166" formatCode="0.0000"/>
  </numFmts>
  <fonts count="37" x14ac:knownFonts="1">
    <font>
      <sz val="11"/>
      <color theme="1"/>
      <name val="Calibri"/>
      <family val="2"/>
      <scheme val="minor"/>
    </font>
    <font>
      <b/>
      <sz val="15"/>
      <color rgb="FF0F2342"/>
      <name val="Calibri"/>
    </font>
    <font>
      <b/>
      <sz val="11"/>
      <color rgb="FF1B3D6F"/>
      <name val="Calibri"/>
    </font>
    <font>
      <i/>
      <sz val="9"/>
      <color rgb="FF555555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sz val="10"/>
      <color rgb="FF1A1A1A"/>
      <name val="Calibri"/>
    </font>
    <font>
      <sz val="9"/>
      <color rgb="FF555555"/>
      <name val="Calibri"/>
    </font>
    <font>
      <sz val="10"/>
      <color rgb="FF0D47A1"/>
      <name val="Calibri"/>
    </font>
    <font>
      <sz val="10"/>
      <color rgb="FF1B5E20"/>
      <name val="Calibri"/>
    </font>
    <font>
      <i/>
      <sz val="8"/>
      <color rgb="FF555555"/>
      <name val="Calibri"/>
    </font>
    <font>
      <sz val="10"/>
      <color rgb="FF000000"/>
      <name val="Calibri"/>
    </font>
    <font>
      <b/>
      <sz val="10"/>
      <color rgb="FF1B3D6F"/>
      <name val="Calibri"/>
    </font>
    <font>
      <b/>
      <sz val="10"/>
      <color rgb="FF0F2342"/>
      <name val="Calibri"/>
    </font>
    <font>
      <b/>
      <i/>
      <sz val="9"/>
      <color rgb="FF2A5298"/>
      <name val="Calibri"/>
    </font>
    <font>
      <b/>
      <sz val="10"/>
      <color rgb="FF1A1A1A"/>
      <name val="Calibri"/>
    </font>
    <font>
      <b/>
      <sz val="10"/>
      <color rgb="FF1B5E20"/>
      <name val="Calibri"/>
    </font>
    <font>
      <b/>
      <sz val="11"/>
      <color rgb="FF0F2342"/>
      <name val="Calibri"/>
    </font>
    <font>
      <b/>
      <sz val="14"/>
      <color rgb="FF0F2342"/>
      <name val="Calibri"/>
    </font>
    <font>
      <sz val="9"/>
      <color rgb="FF1B5E20"/>
      <name val="Calibri"/>
    </font>
    <font>
      <b/>
      <sz val="12"/>
      <color rgb="FF0F2342"/>
      <name val="Calibri"/>
    </font>
    <font>
      <b/>
      <sz val="9"/>
      <color rgb="FF1B3D6F"/>
      <name val="Calibri"/>
    </font>
    <font>
      <sz val="9"/>
      <color rgb="FF1A1A1A"/>
      <name val="Calibri"/>
    </font>
    <font>
      <sz val="9"/>
      <color rgb="FF1B3D6F"/>
      <name val="Calibri"/>
    </font>
    <font>
      <b/>
      <sz val="9"/>
      <color rgb="FF2A5298"/>
      <name val="Calibri"/>
    </font>
    <font>
      <b/>
      <sz val="9"/>
      <color rgb="FF0F2342"/>
      <name val="Calibri"/>
    </font>
    <font>
      <i/>
      <sz val="8"/>
      <color rgb="FF1B3D6F"/>
      <name val="Calibri"/>
    </font>
    <font>
      <b/>
      <sz val="20"/>
      <color rgb="FFC8991E"/>
      <name val="Calibri"/>
    </font>
    <font>
      <b/>
      <sz val="12"/>
      <color rgb="FFAECBF0"/>
      <name val="Calibri"/>
    </font>
    <font>
      <i/>
      <sz val="10"/>
      <color rgb="FF8BAACF"/>
      <name val="Calibri"/>
    </font>
    <font>
      <b/>
      <sz val="26"/>
      <color rgb="FF4FC3F7"/>
      <name val="Calibri"/>
    </font>
    <font>
      <sz val="10"/>
      <color rgb="FFDDDDDD"/>
      <name val="Calibri"/>
    </font>
    <font>
      <b/>
      <sz val="26"/>
      <color rgb="FFA5D6A7"/>
      <name val="Calibri"/>
    </font>
    <font>
      <b/>
      <sz val="26"/>
      <color rgb="FFFFCC80"/>
      <name val="Calibri"/>
    </font>
    <font>
      <b/>
      <i/>
      <sz val="8"/>
      <color rgb="FF2A5298"/>
      <name val="Calibri"/>
    </font>
    <font>
      <sz val="11"/>
      <color rgb="FFFF0000"/>
      <name val="Calibri"/>
      <family val="2"/>
      <scheme val="minor"/>
    </font>
    <font>
      <i/>
      <sz val="8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F2342"/>
      </patternFill>
    </fill>
    <fill>
      <patternFill patternType="solid">
        <fgColor rgb="FFFFFFFF"/>
      </patternFill>
    </fill>
    <fill>
      <patternFill patternType="solid">
        <fgColor rgb="FF1B3D6F"/>
      </patternFill>
    </fill>
    <fill>
      <patternFill patternType="solid">
        <fgColor rgb="FFF3F8FF"/>
      </patternFill>
    </fill>
    <fill>
      <patternFill patternType="solid">
        <fgColor rgb="FFD9E9FB"/>
      </patternFill>
    </fill>
    <fill>
      <patternFill patternType="solid">
        <fgColor rgb="FFC1D8F5"/>
      </patternFill>
    </fill>
    <fill>
      <patternFill patternType="solid">
        <fgColor rgb="FF2A5298"/>
      </patternFill>
    </fill>
    <fill>
      <patternFill patternType="solid">
        <fgColor rgb="FFE6F4EA"/>
      </patternFill>
    </fill>
    <fill>
      <patternFill patternType="solid">
        <fgColor rgb="FFC8991E"/>
      </patternFill>
    </fill>
    <fill>
      <patternFill patternType="solid">
        <fgColor rgb="FF15396A"/>
      </patternFill>
    </fill>
    <fill>
      <patternFill patternType="solid">
        <fgColor rgb="FF1A5C2E"/>
      </patternFill>
    </fill>
    <fill>
      <patternFill patternType="solid">
        <fgColor rgb="FF6D3B00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2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0" fontId="34" fillId="5" borderId="0" xfId="0" applyFont="1" applyFill="1" applyAlignment="1">
      <alignment horizontal="left" vertical="center"/>
    </xf>
    <xf numFmtId="0" fontId="0" fillId="5" borderId="0" xfId="0" applyFill="1"/>
    <xf numFmtId="0" fontId="13" fillId="3" borderId="0" xfId="0" applyFont="1" applyFill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24" fillId="5" borderId="0" xfId="0" applyFont="1" applyFill="1" applyAlignment="1">
      <alignment horizontal="left" vertical="center" indent="1"/>
    </xf>
    <xf numFmtId="0" fontId="22" fillId="5" borderId="0" xfId="0" applyFont="1" applyFill="1" applyAlignment="1">
      <alignment horizontal="left" vertical="center" wrapText="1"/>
    </xf>
    <xf numFmtId="0" fontId="24" fillId="3" borderId="0" xfId="0" applyFont="1" applyFill="1" applyAlignment="1">
      <alignment horizontal="left" vertical="center" indent="1"/>
    </xf>
    <xf numFmtId="0" fontId="22" fillId="3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left" vertical="center" indent="1"/>
    </xf>
    <xf numFmtId="0" fontId="6" fillId="3" borderId="2" xfId="0" applyFont="1" applyFill="1" applyBorder="1" applyAlignment="1">
      <alignment horizontal="left" vertical="center" indent="2"/>
    </xf>
    <xf numFmtId="0" fontId="7" fillId="3" borderId="2" xfId="0" applyFont="1" applyFill="1" applyBorder="1" applyAlignment="1">
      <alignment horizontal="center" vertical="center"/>
    </xf>
    <xf numFmtId="38" fontId="8" fillId="3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 indent="2"/>
    </xf>
    <xf numFmtId="0" fontId="7" fillId="5" borderId="2" xfId="0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right" vertical="center"/>
    </xf>
    <xf numFmtId="164" fontId="8" fillId="3" borderId="2" xfId="0" applyNumberFormat="1" applyFont="1" applyFill="1" applyBorder="1" applyAlignment="1">
      <alignment horizontal="right" vertical="center"/>
    </xf>
    <xf numFmtId="164" fontId="8" fillId="0" borderId="2" xfId="0" applyNumberFormat="1" applyFont="1" applyBorder="1" applyAlignment="1">
      <alignment horizontal="right" vertical="center"/>
    </xf>
    <xf numFmtId="2" fontId="8" fillId="3" borderId="2" xfId="0" applyNumberFormat="1" applyFont="1" applyFill="1" applyBorder="1" applyAlignment="1">
      <alignment horizontal="right" vertical="center"/>
    </xf>
    <xf numFmtId="164" fontId="9" fillId="5" borderId="2" xfId="0" applyNumberFormat="1" applyFont="1" applyFill="1" applyBorder="1" applyAlignment="1">
      <alignment horizontal="right" vertical="center"/>
    </xf>
    <xf numFmtId="164" fontId="9" fillId="3" borderId="2" xfId="0" applyNumberFormat="1" applyFont="1" applyFill="1" applyBorder="1" applyAlignment="1">
      <alignment horizontal="right" vertical="center"/>
    </xf>
    <xf numFmtId="38" fontId="8" fillId="5" borderId="2" xfId="0" applyNumberFormat="1" applyFont="1" applyFill="1" applyBorder="1" applyAlignment="1">
      <alignment horizontal="right" vertical="center"/>
    </xf>
    <xf numFmtId="38" fontId="9" fillId="5" borderId="2" xfId="0" applyNumberFormat="1" applyFont="1" applyFill="1" applyBorder="1" applyAlignment="1">
      <alignment horizontal="right" vertical="center"/>
    </xf>
    <xf numFmtId="165" fontId="8" fillId="3" borderId="2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 wrapText="1"/>
    </xf>
    <xf numFmtId="38" fontId="9" fillId="3" borderId="2" xfId="0" applyNumberFormat="1" applyFont="1" applyFill="1" applyBorder="1" applyAlignment="1">
      <alignment horizontal="right" vertical="center"/>
    </xf>
    <xf numFmtId="38" fontId="11" fillId="3" borderId="2" xfId="0" applyNumberFormat="1" applyFont="1" applyFill="1" applyBorder="1" applyAlignment="1">
      <alignment horizontal="right" vertical="center"/>
    </xf>
    <xf numFmtId="38" fontId="11" fillId="0" borderId="2" xfId="0" applyNumberFormat="1" applyFont="1" applyBorder="1" applyAlignment="1">
      <alignment horizontal="right" vertical="center"/>
    </xf>
    <xf numFmtId="0" fontId="3" fillId="5" borderId="0" xfId="0" applyFont="1" applyFill="1" applyAlignment="1">
      <alignment horizontal="left" vertical="center" indent="2"/>
    </xf>
    <xf numFmtId="0" fontId="3" fillId="5" borderId="0" xfId="0" applyFont="1" applyFill="1" applyAlignment="1">
      <alignment horizontal="center" vertical="center"/>
    </xf>
    <xf numFmtId="164" fontId="3" fillId="5" borderId="0" xfId="0" applyNumberFormat="1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12" fillId="6" borderId="3" xfId="0" applyFont="1" applyFill="1" applyBorder="1" applyAlignment="1">
      <alignment horizontal="left" vertical="center" indent="1"/>
    </xf>
    <xf numFmtId="38" fontId="12" fillId="6" borderId="3" xfId="0" applyNumberFormat="1" applyFont="1" applyFill="1" applyBorder="1" applyAlignment="1">
      <alignment horizontal="right" vertical="center"/>
    </xf>
    <xf numFmtId="0" fontId="13" fillId="7" borderId="4" xfId="0" applyFont="1" applyFill="1" applyBorder="1" applyAlignment="1">
      <alignment horizontal="left" vertical="center"/>
    </xf>
    <xf numFmtId="38" fontId="13" fillId="7" borderId="4" xfId="0" applyNumberFormat="1" applyFont="1" applyFill="1" applyBorder="1" applyAlignment="1">
      <alignment horizontal="right" vertical="center"/>
    </xf>
    <xf numFmtId="164" fontId="14" fillId="5" borderId="0" xfId="0" applyNumberFormat="1" applyFont="1" applyFill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38" fontId="11" fillId="5" borderId="2" xfId="0" applyNumberFormat="1" applyFont="1" applyFill="1" applyBorder="1" applyAlignment="1">
      <alignment horizontal="right" vertical="center"/>
    </xf>
    <xf numFmtId="0" fontId="13" fillId="7" borderId="5" xfId="0" applyFont="1" applyFill="1" applyBorder="1" applyAlignment="1">
      <alignment horizontal="left" vertical="center"/>
    </xf>
    <xf numFmtId="38" fontId="13" fillId="7" borderId="5" xfId="0" applyNumberFormat="1" applyFont="1" applyFill="1" applyBorder="1" applyAlignment="1">
      <alignment horizontal="right" vertical="center"/>
    </xf>
    <xf numFmtId="0" fontId="4" fillId="2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166" fontId="11" fillId="3" borderId="2" xfId="0" applyNumberFormat="1" applyFont="1" applyFill="1" applyBorder="1" applyAlignment="1">
      <alignment horizontal="right" vertical="center"/>
    </xf>
    <xf numFmtId="0" fontId="0" fillId="6" borderId="0" xfId="0" applyFill="1"/>
    <xf numFmtId="0" fontId="3" fillId="5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left" vertical="center" indent="2"/>
    </xf>
    <xf numFmtId="164" fontId="16" fillId="3" borderId="2" xfId="0" applyNumberFormat="1" applyFont="1" applyFill="1" applyBorder="1" applyAlignment="1">
      <alignment horizontal="right" vertical="center"/>
    </xf>
    <xf numFmtId="0" fontId="17" fillId="7" borderId="6" xfId="0" applyFont="1" applyFill="1" applyBorder="1" applyAlignment="1">
      <alignment horizontal="left" vertical="center"/>
    </xf>
    <xf numFmtId="164" fontId="18" fillId="7" borderId="6" xfId="0" applyNumberFormat="1" applyFont="1" applyFill="1" applyBorder="1" applyAlignment="1">
      <alignment horizontal="right" vertical="center"/>
    </xf>
    <xf numFmtId="0" fontId="12" fillId="7" borderId="6" xfId="0" applyFont="1" applyFill="1" applyBorder="1" applyAlignment="1">
      <alignment horizontal="left" vertical="center"/>
    </xf>
    <xf numFmtId="0" fontId="0" fillId="7" borderId="0" xfId="0" applyFill="1"/>
    <xf numFmtId="0" fontId="4" fillId="4" borderId="1" xfId="0" applyFont="1" applyFill="1" applyBorder="1" applyAlignment="1">
      <alignment horizontal="center" vertical="center"/>
    </xf>
    <xf numFmtId="164" fontId="19" fillId="5" borderId="2" xfId="0" applyNumberFormat="1" applyFont="1" applyFill="1" applyBorder="1" applyAlignment="1">
      <alignment horizontal="right" vertical="center"/>
    </xf>
    <xf numFmtId="164" fontId="19" fillId="3" borderId="2" xfId="0" applyNumberFormat="1" applyFont="1" applyFill="1" applyBorder="1" applyAlignment="1">
      <alignment horizontal="right" vertical="center"/>
    </xf>
    <xf numFmtId="38" fontId="20" fillId="7" borderId="6" xfId="0" applyNumberFormat="1" applyFont="1" applyFill="1" applyBorder="1" applyAlignment="1">
      <alignment horizontal="right" vertical="center"/>
    </xf>
    <xf numFmtId="164" fontId="13" fillId="7" borderId="6" xfId="0" applyNumberFormat="1" applyFont="1" applyFill="1" applyBorder="1" applyAlignment="1">
      <alignment horizontal="right" vertical="center"/>
    </xf>
    <xf numFmtId="165" fontId="9" fillId="3" borderId="2" xfId="0" applyNumberFormat="1" applyFont="1" applyFill="1" applyBorder="1" applyAlignment="1">
      <alignment horizontal="right" vertical="center"/>
    </xf>
    <xf numFmtId="165" fontId="9" fillId="5" borderId="2" xfId="0" applyNumberFormat="1" applyFont="1" applyFill="1" applyBorder="1" applyAlignment="1">
      <alignment horizontal="right" vertical="center"/>
    </xf>
    <xf numFmtId="0" fontId="21" fillId="6" borderId="0" xfId="0" applyFont="1" applyFill="1" applyAlignment="1">
      <alignment horizontal="left" vertical="center"/>
    </xf>
    <xf numFmtId="0" fontId="22" fillId="5" borderId="2" xfId="0" applyFont="1" applyFill="1" applyBorder="1" applyAlignment="1">
      <alignment horizontal="left" vertical="center" indent="3"/>
    </xf>
    <xf numFmtId="0" fontId="10" fillId="5" borderId="2" xfId="0" applyFont="1" applyFill="1" applyBorder="1" applyAlignment="1">
      <alignment horizontal="left" vertical="center"/>
    </xf>
    <xf numFmtId="0" fontId="22" fillId="3" borderId="2" xfId="0" applyFont="1" applyFill="1" applyBorder="1" applyAlignment="1">
      <alignment horizontal="left" vertical="center" indent="3"/>
    </xf>
    <xf numFmtId="0" fontId="10" fillId="3" borderId="2" xfId="0" applyFont="1" applyFill="1" applyBorder="1" applyAlignment="1">
      <alignment horizontal="left" vertical="center"/>
    </xf>
    <xf numFmtId="0" fontId="20" fillId="7" borderId="6" xfId="0" applyFont="1" applyFill="1" applyBorder="1" applyAlignment="1">
      <alignment horizontal="left" vertical="center"/>
    </xf>
    <xf numFmtId="0" fontId="23" fillId="7" borderId="6" xfId="0" applyFont="1" applyFill="1" applyBorder="1" applyAlignment="1">
      <alignment horizontal="left" vertical="center"/>
    </xf>
    <xf numFmtId="0" fontId="24" fillId="0" borderId="0" xfId="0" applyFont="1" applyAlignment="1">
      <alignment horizontal="left" vertical="center" indent="1"/>
    </xf>
    <xf numFmtId="0" fontId="22" fillId="5" borderId="0" xfId="0" applyFont="1" applyFill="1" applyAlignment="1">
      <alignment horizontal="left" vertical="center" indent="1"/>
    </xf>
    <xf numFmtId="38" fontId="22" fillId="5" borderId="2" xfId="0" applyNumberFormat="1" applyFont="1" applyFill="1" applyBorder="1" applyAlignment="1">
      <alignment horizontal="right" vertical="center"/>
    </xf>
    <xf numFmtId="38" fontId="23" fillId="6" borderId="2" xfId="0" applyNumberFormat="1" applyFont="1" applyFill="1" applyBorder="1" applyAlignment="1">
      <alignment horizontal="right" vertical="center"/>
    </xf>
    <xf numFmtId="0" fontId="22" fillId="3" borderId="0" xfId="0" applyFont="1" applyFill="1" applyAlignment="1">
      <alignment horizontal="left" vertical="center" indent="1"/>
    </xf>
    <xf numFmtId="38" fontId="22" fillId="3" borderId="2" xfId="0" applyNumberFormat="1" applyFont="1" applyFill="1" applyBorder="1" applyAlignment="1">
      <alignment horizontal="right" vertical="center"/>
    </xf>
    <xf numFmtId="0" fontId="24" fillId="6" borderId="0" xfId="0" applyFont="1" applyFill="1" applyAlignment="1">
      <alignment horizontal="left" vertical="center" indent="1"/>
    </xf>
    <xf numFmtId="38" fontId="25" fillId="9" borderId="2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horizontal="left" vertical="center" indent="1"/>
    </xf>
    <xf numFmtId="0" fontId="29" fillId="2" borderId="0" xfId="0" applyFont="1" applyFill="1" applyAlignment="1">
      <alignment horizontal="center" vertical="center"/>
    </xf>
    <xf numFmtId="0" fontId="0" fillId="0" borderId="0" xfId="0"/>
    <xf numFmtId="164" fontId="33" fillId="13" borderId="0" xfId="0" applyNumberFormat="1" applyFont="1" applyFill="1" applyAlignment="1">
      <alignment horizontal="center" vertical="center"/>
    </xf>
    <xf numFmtId="0" fontId="31" fillId="13" borderId="0" xfId="0" applyFont="1" applyFill="1" applyAlignment="1">
      <alignment horizontal="center" vertical="center"/>
    </xf>
    <xf numFmtId="0" fontId="27" fillId="2" borderId="0" xfId="0" applyFont="1" applyFill="1" applyAlignment="1">
      <alignment horizontal="center" vertical="center"/>
    </xf>
    <xf numFmtId="38" fontId="30" fillId="11" borderId="0" xfId="0" applyNumberFormat="1" applyFont="1" applyFill="1" applyAlignment="1">
      <alignment horizontal="center" vertical="center"/>
    </xf>
    <xf numFmtId="164" fontId="32" fillId="12" borderId="0" xfId="0" applyNumberFormat="1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31" fillId="12" borderId="0" xfId="0" applyFont="1" applyFill="1" applyAlignment="1">
      <alignment horizontal="center" vertical="center"/>
    </xf>
    <xf numFmtId="0" fontId="31" fillId="11" borderId="0" xfId="0" applyFont="1" applyFill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2342"/>
  </sheetPr>
  <dimension ref="A1:G35"/>
  <sheetViews>
    <sheetView showGridLines="0" tabSelected="1" workbookViewId="0"/>
  </sheetViews>
  <sheetFormatPr defaultRowHeight="14.4" x14ac:dyDescent="0.3"/>
  <cols>
    <col min="1" max="1" width="3" customWidth="1"/>
    <col min="2" max="3" width="24" customWidth="1"/>
    <col min="4" max="4" width="3" customWidth="1"/>
    <col min="5" max="5" width="24" customWidth="1"/>
    <col min="6" max="6" width="25.33203125" customWidth="1"/>
    <col min="7" max="7" width="3" customWidth="1"/>
  </cols>
  <sheetData>
    <row r="1" spans="1:7" ht="13.95" customHeight="1" x14ac:dyDescent="0.3">
      <c r="A1" s="1"/>
      <c r="B1" s="1"/>
      <c r="C1" s="1"/>
      <c r="D1" s="1"/>
      <c r="E1" s="1"/>
      <c r="F1" s="1"/>
      <c r="G1" s="1"/>
    </row>
    <row r="2" spans="1:7" ht="25.95" customHeight="1" x14ac:dyDescent="0.3">
      <c r="A2" s="1"/>
      <c r="B2" s="91" t="s">
        <v>0</v>
      </c>
      <c r="C2" s="88"/>
      <c r="D2" s="88"/>
      <c r="E2" s="88"/>
      <c r="F2" s="88"/>
      <c r="G2" s="1"/>
    </row>
    <row r="3" spans="1:7" ht="25.95" customHeight="1" x14ac:dyDescent="0.3">
      <c r="A3" s="1"/>
      <c r="B3" s="95" t="s">
        <v>1</v>
      </c>
      <c r="C3" s="88"/>
      <c r="D3" s="88"/>
      <c r="E3" s="88"/>
      <c r="F3" s="88"/>
      <c r="G3" s="1"/>
    </row>
    <row r="4" spans="1:7" ht="25.95" customHeight="1" x14ac:dyDescent="0.3">
      <c r="A4" s="1"/>
      <c r="B4" s="87" t="s">
        <v>2</v>
      </c>
      <c r="C4" s="88"/>
      <c r="D4" s="88"/>
      <c r="E4" s="88"/>
      <c r="F4" s="88"/>
      <c r="G4" s="1"/>
    </row>
    <row r="5" spans="1:7" ht="13.95" customHeight="1" x14ac:dyDescent="0.3">
      <c r="A5" s="1"/>
      <c r="B5" s="1"/>
      <c r="C5" s="1"/>
      <c r="D5" s="1"/>
      <c r="E5" s="1"/>
      <c r="F5" s="1"/>
      <c r="G5" s="1"/>
    </row>
    <row r="6" spans="1:7" ht="13.95" customHeight="1" x14ac:dyDescent="0.3">
      <c r="A6" s="1"/>
      <c r="B6" s="1"/>
      <c r="C6" s="1"/>
      <c r="D6" s="1"/>
      <c r="E6" s="1"/>
      <c r="F6" s="1"/>
      <c r="G6" s="1"/>
    </row>
    <row r="7" spans="1:7" ht="4.05" customHeight="1" x14ac:dyDescent="0.3">
      <c r="A7" s="2"/>
      <c r="B7" s="2"/>
      <c r="C7" s="2"/>
      <c r="D7" s="2"/>
      <c r="E7" s="2"/>
      <c r="F7" s="2"/>
      <c r="G7" s="2"/>
    </row>
    <row r="8" spans="1:7" ht="6" customHeight="1" x14ac:dyDescent="0.3">
      <c r="B8" s="3"/>
      <c r="C8" s="3"/>
      <c r="D8" s="4"/>
      <c r="E8" s="4"/>
      <c r="F8" s="5"/>
      <c r="G8" s="5"/>
    </row>
    <row r="9" spans="1:7" ht="36" customHeight="1" x14ac:dyDescent="0.3">
      <c r="B9" s="92">
        <f>'Valuation Summary'!B9</f>
        <v>9272.4265830543736</v>
      </c>
      <c r="C9" s="88"/>
      <c r="D9" s="93">
        <f>Assumptions!B38</f>
        <v>9.3875E-2</v>
      </c>
      <c r="E9" s="88"/>
      <c r="F9" s="89">
        <f>'Valuation Summary'!B25</f>
        <v>0</v>
      </c>
      <c r="G9" s="88"/>
    </row>
    <row r="10" spans="1:7" ht="22.05" customHeight="1" x14ac:dyDescent="0.3">
      <c r="B10" s="98" t="s">
        <v>3</v>
      </c>
      <c r="C10" s="88"/>
      <c r="D10" s="97" t="s">
        <v>4</v>
      </c>
      <c r="E10" s="88"/>
      <c r="F10" s="90" t="s">
        <v>5</v>
      </c>
      <c r="G10" s="88"/>
    </row>
    <row r="11" spans="1:7" ht="13.95" customHeight="1" x14ac:dyDescent="0.3">
      <c r="B11" s="3"/>
      <c r="C11" s="3"/>
      <c r="D11" s="4"/>
      <c r="E11" s="4"/>
      <c r="F11" s="5"/>
      <c r="G11" s="5"/>
    </row>
    <row r="12" spans="1:7" ht="10.050000000000001" customHeight="1" x14ac:dyDescent="0.3">
      <c r="B12" s="3"/>
      <c r="C12" s="3"/>
      <c r="D12" s="4"/>
      <c r="E12" s="4"/>
      <c r="F12" s="5"/>
      <c r="G12" s="5"/>
    </row>
    <row r="13" spans="1:7" ht="10.050000000000001" customHeight="1" x14ac:dyDescent="0.3">
      <c r="A13" s="6"/>
      <c r="B13" s="6"/>
      <c r="C13" s="6"/>
      <c r="D13" s="6"/>
      <c r="E13" s="6"/>
      <c r="F13" s="6"/>
      <c r="G13" s="6"/>
    </row>
    <row r="14" spans="1:7" ht="7.95" customHeight="1" x14ac:dyDescent="0.3"/>
    <row r="15" spans="1:7" ht="13.95" customHeight="1" x14ac:dyDescent="0.3">
      <c r="B15" s="96" t="s">
        <v>6</v>
      </c>
      <c r="C15" s="88"/>
      <c r="D15" s="88"/>
      <c r="E15" s="88"/>
      <c r="F15" s="88"/>
    </row>
    <row r="16" spans="1:7" ht="13.05" customHeight="1" x14ac:dyDescent="0.3">
      <c r="B16" s="7" t="s">
        <v>7</v>
      </c>
      <c r="C16" s="8"/>
      <c r="D16" s="8"/>
      <c r="E16" s="7" t="s">
        <v>8</v>
      </c>
      <c r="F16" s="8"/>
    </row>
    <row r="17" spans="2:6" ht="41.4" x14ac:dyDescent="0.3">
      <c r="B17" s="9" t="s">
        <v>9</v>
      </c>
      <c r="C17" s="6"/>
      <c r="D17" s="6"/>
      <c r="E17" s="9" t="s">
        <v>10</v>
      </c>
      <c r="F17" s="6"/>
    </row>
    <row r="18" spans="2:6" ht="13.05" customHeight="1" x14ac:dyDescent="0.3">
      <c r="B18" s="7" t="s">
        <v>11</v>
      </c>
      <c r="C18" s="8"/>
      <c r="D18" s="8"/>
      <c r="E18" s="7" t="s">
        <v>12</v>
      </c>
      <c r="F18" s="8"/>
    </row>
    <row r="19" spans="2:6" ht="41.4" x14ac:dyDescent="0.3">
      <c r="B19" s="9" t="s">
        <v>13</v>
      </c>
      <c r="C19" s="6"/>
      <c r="D19" s="6"/>
      <c r="E19" s="9" t="s">
        <v>14</v>
      </c>
      <c r="F19" s="6"/>
    </row>
    <row r="20" spans="2:6" ht="13.05" customHeight="1" x14ac:dyDescent="0.3">
      <c r="B20" s="7" t="s">
        <v>15</v>
      </c>
      <c r="C20" s="8"/>
      <c r="D20" s="8"/>
      <c r="E20" s="7" t="s">
        <v>16</v>
      </c>
      <c r="F20" s="8"/>
    </row>
    <row r="21" spans="2:6" ht="41.4" x14ac:dyDescent="0.3">
      <c r="B21" s="9" t="s">
        <v>17</v>
      </c>
      <c r="C21" s="6"/>
      <c r="D21" s="6"/>
      <c r="E21" s="9" t="s">
        <v>18</v>
      </c>
      <c r="F21" s="6"/>
    </row>
    <row r="22" spans="2:6" ht="13.05" customHeight="1" x14ac:dyDescent="0.3">
      <c r="B22" s="7" t="s">
        <v>19</v>
      </c>
      <c r="C22" s="8"/>
      <c r="D22" s="8"/>
      <c r="E22" s="7" t="s">
        <v>20</v>
      </c>
      <c r="F22" s="8"/>
    </row>
    <row r="23" spans="2:6" ht="41.4" x14ac:dyDescent="0.3">
      <c r="B23" s="9" t="s">
        <v>21</v>
      </c>
      <c r="C23" s="6"/>
      <c r="D23" s="6"/>
      <c r="E23" s="9" t="s">
        <v>22</v>
      </c>
      <c r="F23" s="6"/>
    </row>
    <row r="25" spans="2:6" ht="7.95" customHeight="1" x14ac:dyDescent="0.3"/>
    <row r="26" spans="2:6" ht="13.95" customHeight="1" x14ac:dyDescent="0.3">
      <c r="B26" s="94" t="s">
        <v>23</v>
      </c>
      <c r="C26" s="88"/>
      <c r="D26" s="88"/>
      <c r="E26" s="88"/>
      <c r="F26" s="88"/>
    </row>
    <row r="27" spans="2:6" ht="22.05" customHeight="1" x14ac:dyDescent="0.3">
      <c r="B27" s="10" t="s">
        <v>24</v>
      </c>
      <c r="C27" s="10" t="s">
        <v>25</v>
      </c>
    </row>
    <row r="28" spans="2:6" ht="48" x14ac:dyDescent="0.3">
      <c r="B28" s="11" t="s">
        <v>26</v>
      </c>
      <c r="C28" s="12" t="s">
        <v>27</v>
      </c>
      <c r="D28" s="8"/>
      <c r="E28" s="8"/>
      <c r="F28" s="8"/>
    </row>
    <row r="29" spans="2:6" ht="36" x14ac:dyDescent="0.3">
      <c r="B29" s="13" t="s">
        <v>28</v>
      </c>
      <c r="C29" s="14" t="s">
        <v>29</v>
      </c>
      <c r="D29" s="6"/>
      <c r="E29" s="6"/>
      <c r="F29" s="6"/>
    </row>
    <row r="30" spans="2:6" ht="36" x14ac:dyDescent="0.3">
      <c r="B30" s="11" t="s">
        <v>30</v>
      </c>
      <c r="C30" s="12" t="s">
        <v>31</v>
      </c>
      <c r="D30" s="8"/>
      <c r="E30" s="8"/>
      <c r="F30" s="8"/>
    </row>
    <row r="31" spans="2:6" ht="24" x14ac:dyDescent="0.3">
      <c r="B31" s="13" t="s">
        <v>32</v>
      </c>
      <c r="C31" s="14" t="s">
        <v>33</v>
      </c>
      <c r="D31" s="6"/>
      <c r="E31" s="6"/>
      <c r="F31" s="6"/>
    </row>
    <row r="32" spans="2:6" ht="36" x14ac:dyDescent="0.3">
      <c r="B32" s="11" t="s">
        <v>34</v>
      </c>
      <c r="C32" s="12" t="s">
        <v>35</v>
      </c>
      <c r="D32" s="8"/>
      <c r="E32" s="8"/>
      <c r="F32" s="8"/>
    </row>
    <row r="34" spans="2:6" ht="7.95" customHeight="1" x14ac:dyDescent="0.3"/>
    <row r="35" spans="2:6" ht="13.95" customHeight="1" x14ac:dyDescent="0.3">
      <c r="B35" s="99" t="s">
        <v>36</v>
      </c>
      <c r="C35" s="100"/>
      <c r="D35" s="100"/>
      <c r="E35" s="100"/>
      <c r="F35" s="100"/>
    </row>
  </sheetData>
  <sheetProtection algorithmName="SHA-512" hashValue="QSRtjxuS7l1HmxzU0KD3br1cOhEzWmsP0AqZBsCRhq10THsjs8R1o3E+NTJj49cUYMpDLGkFofVfa0W/FqVG4A==" saltValue="qpD3oBTZdCHRguS8QMl7fQ==" spinCount="100000" sheet="1" objects="1" scenarios="1"/>
  <mergeCells count="12">
    <mergeCell ref="B26:F26"/>
    <mergeCell ref="B3:F3"/>
    <mergeCell ref="B35:F35"/>
    <mergeCell ref="B15:F15"/>
    <mergeCell ref="D10:E10"/>
    <mergeCell ref="B10:C10"/>
    <mergeCell ref="B4:F4"/>
    <mergeCell ref="F9:G9"/>
    <mergeCell ref="F10:G10"/>
    <mergeCell ref="B2:F2"/>
    <mergeCell ref="B9:C9"/>
    <mergeCell ref="D9:E9"/>
  </mergeCells>
  <pageMargins left="0.5" right="0.5" top="0.75" bottom="0.75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8991E"/>
  </sheetPr>
  <dimension ref="A1:O54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6" customWidth="1"/>
    <col min="2" max="5" width="16" customWidth="1"/>
    <col min="6" max="15" width="14" customWidth="1"/>
  </cols>
  <sheetData>
    <row r="1" spans="1:15" ht="31.95" customHeight="1" x14ac:dyDescent="0.3">
      <c r="A1" s="15" t="s">
        <v>37</v>
      </c>
    </row>
    <row r="2" spans="1:15" ht="18" customHeight="1" x14ac:dyDescent="0.3">
      <c r="A2" s="16" t="s">
        <v>1</v>
      </c>
    </row>
    <row r="3" spans="1:15" ht="13.95" customHeight="1" x14ac:dyDescent="0.3">
      <c r="A3" s="17" t="s">
        <v>38</v>
      </c>
    </row>
    <row r="6" spans="1:15" ht="22.05" customHeight="1" x14ac:dyDescent="0.3">
      <c r="A6" s="18" t="s">
        <v>39</v>
      </c>
      <c r="B6" s="18" t="s">
        <v>40</v>
      </c>
      <c r="C6" s="18" t="s">
        <v>41</v>
      </c>
      <c r="D6" s="18" t="s">
        <v>42</v>
      </c>
      <c r="E6" s="18" t="s">
        <v>43</v>
      </c>
      <c r="F6" s="18" t="s">
        <v>44</v>
      </c>
      <c r="G6" s="18" t="s">
        <v>45</v>
      </c>
      <c r="H6" s="18" t="s">
        <v>46</v>
      </c>
      <c r="I6" s="18" t="s">
        <v>47</v>
      </c>
      <c r="J6" s="18" t="s">
        <v>48</v>
      </c>
      <c r="K6" s="18" t="s">
        <v>49</v>
      </c>
      <c r="L6" s="18" t="s">
        <v>50</v>
      </c>
      <c r="M6" s="18" t="s">
        <v>51</v>
      </c>
      <c r="N6" s="18" t="s">
        <v>52</v>
      </c>
      <c r="O6" s="18" t="s">
        <v>53</v>
      </c>
    </row>
    <row r="7" spans="1:15" ht="7.0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5" ht="15" customHeight="1" x14ac:dyDescent="0.3">
      <c r="A8" s="19" t="s">
        <v>54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6.05" customHeight="1" x14ac:dyDescent="0.3">
      <c r="A9" s="20" t="s">
        <v>55</v>
      </c>
      <c r="B9" s="21" t="s">
        <v>56</v>
      </c>
      <c r="C9" s="21" t="s">
        <v>56</v>
      </c>
      <c r="D9" s="21" t="s">
        <v>56</v>
      </c>
      <c r="E9" s="22">
        <v>4650</v>
      </c>
      <c r="F9" s="21" t="s">
        <v>56</v>
      </c>
      <c r="G9" s="21" t="s">
        <v>56</v>
      </c>
      <c r="H9" s="21" t="s">
        <v>56</v>
      </c>
      <c r="I9" s="21" t="s">
        <v>56</v>
      </c>
      <c r="J9" s="21" t="s">
        <v>56</v>
      </c>
      <c r="K9" s="21" t="s">
        <v>56</v>
      </c>
      <c r="L9" s="21" t="s">
        <v>56</v>
      </c>
      <c r="M9" s="23" t="s">
        <v>56</v>
      </c>
      <c r="N9" s="23" t="s">
        <v>56</v>
      </c>
      <c r="O9" s="23" t="s">
        <v>56</v>
      </c>
    </row>
    <row r="10" spans="1:15" ht="16.05" customHeight="1" x14ac:dyDescent="0.3">
      <c r="A10" s="24" t="s">
        <v>57</v>
      </c>
      <c r="B10" s="25" t="s">
        <v>58</v>
      </c>
      <c r="C10" s="25" t="s">
        <v>59</v>
      </c>
      <c r="D10" s="25" t="s">
        <v>60</v>
      </c>
      <c r="E10" s="25" t="s">
        <v>61</v>
      </c>
      <c r="F10" s="26">
        <v>0.05</v>
      </c>
      <c r="G10" s="26">
        <v>0.04</v>
      </c>
      <c r="H10" s="26">
        <v>0.04</v>
      </c>
      <c r="I10" s="26">
        <v>0.03</v>
      </c>
      <c r="J10" s="26">
        <v>0.03</v>
      </c>
      <c r="K10" s="26">
        <v>0.03</v>
      </c>
      <c r="L10" s="26">
        <v>0.03</v>
      </c>
      <c r="M10" s="26">
        <v>2.5000000000000001E-2</v>
      </c>
      <c r="N10" s="26">
        <v>2.5000000000000001E-2</v>
      </c>
      <c r="O10" s="26">
        <v>2.5000000000000001E-2</v>
      </c>
    </row>
    <row r="11" spans="1:15" ht="7.0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5" ht="15" customHeight="1" x14ac:dyDescent="0.3">
      <c r="A12" s="19" t="s">
        <v>62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ht="16.05" customHeight="1" x14ac:dyDescent="0.3">
      <c r="A13" s="20" t="s">
        <v>63</v>
      </c>
      <c r="B13" s="27">
        <v>0.17</v>
      </c>
      <c r="C13" s="27">
        <v>0.18</v>
      </c>
      <c r="D13" s="27">
        <v>0.19</v>
      </c>
      <c r="E13" s="27">
        <v>0.19</v>
      </c>
      <c r="F13" s="27">
        <v>0.19500000000000001</v>
      </c>
      <c r="G13" s="27">
        <v>0.2</v>
      </c>
      <c r="H13" s="27">
        <v>0.20499999999999999</v>
      </c>
      <c r="I13" s="27">
        <v>0.21</v>
      </c>
      <c r="J13" s="27">
        <v>0.21</v>
      </c>
      <c r="K13" s="27">
        <v>0.215</v>
      </c>
      <c r="L13" s="27">
        <v>0.215</v>
      </c>
      <c r="M13" s="28">
        <v>0.215</v>
      </c>
      <c r="N13" s="28">
        <v>0.215</v>
      </c>
      <c r="O13" s="28">
        <v>0.215</v>
      </c>
    </row>
    <row r="16" spans="1:15" ht="16.05" customHeight="1" x14ac:dyDescent="0.3">
      <c r="A16" s="24" t="s">
        <v>64</v>
      </c>
      <c r="B16" s="26">
        <v>3.5000000000000003E-2</v>
      </c>
      <c r="C16" s="26">
        <v>3.5000000000000003E-2</v>
      </c>
      <c r="D16" s="26">
        <v>3.5000000000000003E-2</v>
      </c>
      <c r="E16" s="26">
        <v>3.5000000000000003E-2</v>
      </c>
      <c r="F16" s="26">
        <v>3.5000000000000003E-2</v>
      </c>
      <c r="G16" s="26">
        <v>3.5000000000000003E-2</v>
      </c>
      <c r="H16" s="26">
        <v>3.5000000000000003E-2</v>
      </c>
      <c r="I16" s="26">
        <v>3.5000000000000003E-2</v>
      </c>
      <c r="J16" s="26">
        <v>3.5000000000000003E-2</v>
      </c>
      <c r="K16" s="26">
        <v>3.5000000000000003E-2</v>
      </c>
      <c r="L16" s="26">
        <v>3.5000000000000003E-2</v>
      </c>
      <c r="M16" s="26">
        <v>3.5000000000000003E-2</v>
      </c>
      <c r="N16" s="26">
        <v>3.5000000000000003E-2</v>
      </c>
      <c r="O16" s="26">
        <v>3.5000000000000003E-2</v>
      </c>
    </row>
    <row r="17" spans="1:15" ht="16.05" customHeight="1" x14ac:dyDescent="0.3">
      <c r="A17" s="20" t="s">
        <v>65</v>
      </c>
      <c r="B17" s="27">
        <v>0.04</v>
      </c>
      <c r="C17" s="27">
        <v>0.04</v>
      </c>
      <c r="D17" s="27">
        <v>0.04</v>
      </c>
      <c r="E17" s="27">
        <v>0.04</v>
      </c>
      <c r="F17" s="27">
        <v>0.04</v>
      </c>
      <c r="G17" s="27">
        <v>0.04</v>
      </c>
      <c r="H17" s="27">
        <v>0.04</v>
      </c>
      <c r="I17" s="27">
        <v>0.04</v>
      </c>
      <c r="J17" s="27">
        <v>0.04</v>
      </c>
      <c r="K17" s="27">
        <v>0.04</v>
      </c>
      <c r="L17" s="27">
        <v>0.04</v>
      </c>
      <c r="M17" s="28">
        <v>0.04</v>
      </c>
      <c r="N17" s="28">
        <v>0.04</v>
      </c>
      <c r="O17" s="28">
        <v>0.04</v>
      </c>
    </row>
    <row r="18" spans="1:15" ht="16.05" customHeight="1" x14ac:dyDescent="0.3">
      <c r="A18" s="24" t="s">
        <v>66</v>
      </c>
      <c r="B18" s="26">
        <v>7.4999999999999997E-2</v>
      </c>
      <c r="C18" s="26">
        <v>7.4999999999999997E-2</v>
      </c>
      <c r="D18" s="26">
        <v>7.4999999999999997E-2</v>
      </c>
      <c r="E18" s="26">
        <v>7.4999999999999997E-2</v>
      </c>
      <c r="F18" s="26">
        <v>7.4999999999999997E-2</v>
      </c>
      <c r="G18" s="26">
        <v>7.4999999999999997E-2</v>
      </c>
      <c r="H18" s="26">
        <v>7.4999999999999997E-2</v>
      </c>
      <c r="I18" s="26">
        <v>7.4999999999999997E-2</v>
      </c>
      <c r="J18" s="26">
        <v>7.4999999999999997E-2</v>
      </c>
      <c r="K18" s="26">
        <v>7.4999999999999997E-2</v>
      </c>
      <c r="L18" s="26">
        <v>7.4999999999999997E-2</v>
      </c>
      <c r="M18" s="26">
        <v>7.4999999999999997E-2</v>
      </c>
      <c r="N18" s="26">
        <v>7.4999999999999997E-2</v>
      </c>
      <c r="O18" s="26">
        <v>7.4999999999999997E-2</v>
      </c>
    </row>
    <row r="19" spans="1:15" ht="16.05" customHeight="1" x14ac:dyDescent="0.3">
      <c r="A19" s="20" t="s">
        <v>67</v>
      </c>
      <c r="B19" s="27">
        <v>0.25</v>
      </c>
      <c r="C19" s="27">
        <v>0.25</v>
      </c>
      <c r="D19" s="27">
        <v>0.25</v>
      </c>
      <c r="E19" s="27">
        <v>0.25</v>
      </c>
      <c r="F19" s="27">
        <v>0.25</v>
      </c>
      <c r="G19" s="27">
        <v>0.25</v>
      </c>
      <c r="H19" s="27">
        <v>0.25</v>
      </c>
      <c r="I19" s="27">
        <v>0.25</v>
      </c>
      <c r="J19" s="27">
        <v>0.25</v>
      </c>
      <c r="K19" s="27">
        <v>0.25</v>
      </c>
      <c r="L19" s="27">
        <v>0.25</v>
      </c>
      <c r="M19" s="28">
        <v>0.25</v>
      </c>
      <c r="N19" s="28">
        <v>0.25</v>
      </c>
      <c r="O19" s="28">
        <v>0.25</v>
      </c>
    </row>
    <row r="20" spans="1:15" ht="7.05" customHeight="1" x14ac:dyDescent="0.3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3" spans="1:15" ht="15" customHeight="1" x14ac:dyDescent="0.3">
      <c r="A23" s="19" t="s">
        <v>68</v>
      </c>
      <c r="B23" s="19"/>
      <c r="C23" s="19"/>
      <c r="D23" s="19"/>
      <c r="E23" s="19"/>
    </row>
    <row r="24" spans="1:15" ht="16.05" customHeight="1" x14ac:dyDescent="0.3">
      <c r="A24" s="24" t="s">
        <v>69</v>
      </c>
      <c r="B24" s="26">
        <v>4.2999999999999997E-2</v>
      </c>
      <c r="C24" s="8"/>
      <c r="D24" s="8"/>
      <c r="E24" s="8"/>
      <c r="F24" s="6"/>
      <c r="G24" s="6"/>
      <c r="H24" s="6"/>
      <c r="I24" s="6"/>
      <c r="J24" s="6"/>
      <c r="K24" s="6"/>
      <c r="L24" s="6"/>
    </row>
    <row r="25" spans="1:15" ht="16.05" customHeight="1" x14ac:dyDescent="0.3">
      <c r="A25" s="20" t="s">
        <v>70</v>
      </c>
      <c r="B25" s="29">
        <v>1.2</v>
      </c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5" ht="16.05" customHeight="1" x14ac:dyDescent="0.3">
      <c r="A26" s="24" t="s">
        <v>71</v>
      </c>
      <c r="B26" s="26">
        <v>5.5E-2</v>
      </c>
      <c r="C26" s="8"/>
      <c r="D26" s="8"/>
      <c r="E26" s="8"/>
      <c r="F26" s="6"/>
      <c r="G26" s="6"/>
      <c r="H26" s="6"/>
      <c r="I26" s="6"/>
      <c r="J26" s="6"/>
      <c r="K26" s="6"/>
      <c r="L26" s="6"/>
    </row>
    <row r="27" spans="1:15" ht="16.05" customHeight="1" x14ac:dyDescent="0.3">
      <c r="A27" s="20" t="s">
        <v>72</v>
      </c>
      <c r="B27" s="27">
        <v>1E-3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5" ht="16.05" customHeight="1" x14ac:dyDescent="0.3">
      <c r="A28" s="24" t="s">
        <v>73</v>
      </c>
      <c r="B28" s="30">
        <f>Assumptions!B24+Assumptions!B25*Assumptions!B26+Assumptions!B27</f>
        <v>0.11</v>
      </c>
      <c r="C28" s="8"/>
      <c r="D28" s="8"/>
      <c r="E28" s="8"/>
      <c r="F28" s="6"/>
      <c r="G28" s="6"/>
      <c r="H28" s="6"/>
      <c r="I28" s="6"/>
      <c r="J28" s="6"/>
      <c r="K28" s="6"/>
      <c r="L28" s="6"/>
    </row>
    <row r="31" spans="1:15" ht="16.05" customHeight="1" x14ac:dyDescent="0.3">
      <c r="A31" s="20" t="s">
        <v>74</v>
      </c>
      <c r="B31" s="27">
        <v>7.4999999999999997E-2</v>
      </c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5" ht="16.05" customHeight="1" x14ac:dyDescent="0.3">
      <c r="A32" s="24" t="s">
        <v>75</v>
      </c>
      <c r="B32" s="26">
        <v>0.25</v>
      </c>
      <c r="C32" s="8"/>
      <c r="D32" s="8"/>
      <c r="E32" s="8"/>
      <c r="F32" s="6"/>
      <c r="G32" s="6"/>
      <c r="H32" s="6"/>
      <c r="I32" s="6"/>
      <c r="J32" s="6"/>
      <c r="K32" s="6"/>
      <c r="L32" s="6"/>
    </row>
    <row r="33" spans="1:12" ht="16.05" customHeight="1" x14ac:dyDescent="0.3">
      <c r="A33" s="20" t="s">
        <v>76</v>
      </c>
      <c r="B33" s="31">
        <f>Assumptions!B31*(1-Assumptions!B32)</f>
        <v>5.6249999999999994E-2</v>
      </c>
      <c r="C33" s="6"/>
      <c r="D33" s="6"/>
      <c r="E33" s="6"/>
      <c r="F33" s="6"/>
      <c r="G33" s="6"/>
      <c r="H33" s="6"/>
      <c r="I33" s="6"/>
      <c r="J33" s="6"/>
      <c r="K33" s="6"/>
      <c r="L33" s="6"/>
    </row>
    <row r="36" spans="1:12" ht="16.05" customHeight="1" x14ac:dyDescent="0.3">
      <c r="A36" s="24" t="s">
        <v>77</v>
      </c>
      <c r="B36" s="26">
        <v>0.7</v>
      </c>
      <c r="C36" s="8"/>
      <c r="D36" s="8"/>
      <c r="E36" s="8"/>
      <c r="F36" s="6"/>
      <c r="G36" s="6"/>
      <c r="H36" s="6"/>
      <c r="I36" s="6"/>
      <c r="J36" s="6"/>
      <c r="K36" s="6"/>
      <c r="L36" s="6"/>
    </row>
    <row r="37" spans="1:12" ht="16.05" customHeight="1" x14ac:dyDescent="0.3">
      <c r="A37" s="20" t="s">
        <v>78</v>
      </c>
      <c r="B37" s="27">
        <v>0.3</v>
      </c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2" ht="16.05" customHeight="1" x14ac:dyDescent="0.3">
      <c r="A38" s="24" t="s">
        <v>79</v>
      </c>
      <c r="B38" s="30">
        <f>Assumptions!B28*Assumptions!B36+Assumptions!B33*Assumptions!B37</f>
        <v>9.3875E-2</v>
      </c>
      <c r="C38" s="8"/>
      <c r="D38" s="8"/>
      <c r="E38" s="8"/>
      <c r="F38" s="6"/>
      <c r="G38" s="6"/>
      <c r="H38" s="6"/>
      <c r="I38" s="6"/>
      <c r="J38" s="6"/>
      <c r="K38" s="6"/>
      <c r="L38" s="6"/>
    </row>
    <row r="39" spans="1:12" ht="7.05" customHeight="1" x14ac:dyDescent="0.3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 ht="15" customHeight="1" x14ac:dyDescent="0.3">
      <c r="A40" s="19" t="s">
        <v>80</v>
      </c>
      <c r="B40" s="19"/>
      <c r="C40" s="19"/>
      <c r="D40" s="19"/>
      <c r="E40" s="19"/>
    </row>
    <row r="41" spans="1:12" ht="16.05" customHeight="1" x14ac:dyDescent="0.3">
      <c r="A41" s="20" t="s">
        <v>81</v>
      </c>
      <c r="B41" s="27">
        <v>2.5000000000000001E-2</v>
      </c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ht="7.05" customHeight="1" x14ac:dyDescent="0.3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</row>
    <row r="43" spans="1:12" ht="15" customHeight="1" x14ac:dyDescent="0.3">
      <c r="A43" s="19" t="s">
        <v>82</v>
      </c>
      <c r="B43" s="19"/>
      <c r="C43" s="19"/>
      <c r="D43" s="19"/>
      <c r="E43" s="19"/>
    </row>
    <row r="44" spans="1:12" ht="16.05" customHeight="1" x14ac:dyDescent="0.3">
      <c r="A44" s="24" t="s">
        <v>83</v>
      </c>
      <c r="B44" s="32">
        <v>280</v>
      </c>
      <c r="C44" s="8"/>
      <c r="D44" s="8"/>
      <c r="E44" s="8"/>
    </row>
    <row r="45" spans="1:12" ht="16.05" customHeight="1" x14ac:dyDescent="0.3">
      <c r="A45" s="20" t="s">
        <v>84</v>
      </c>
      <c r="B45" s="22">
        <v>1580</v>
      </c>
      <c r="C45" s="6"/>
      <c r="D45" s="6"/>
      <c r="E45" s="6"/>
    </row>
    <row r="46" spans="1:12" ht="16.05" customHeight="1" x14ac:dyDescent="0.3">
      <c r="A46" s="24" t="s">
        <v>85</v>
      </c>
      <c r="B46" s="33">
        <f>Assumptions!B45-Assumptions!B44</f>
        <v>1300</v>
      </c>
      <c r="C46" s="8"/>
      <c r="D46" s="8"/>
      <c r="E46" s="8"/>
    </row>
    <row r="47" spans="1:12" ht="7.05" customHeight="1" x14ac:dyDescent="0.3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9" spans="1:12" ht="15" customHeight="1" x14ac:dyDescent="0.3">
      <c r="A49" s="19" t="s">
        <v>86</v>
      </c>
      <c r="B49" s="19"/>
      <c r="C49" s="19"/>
      <c r="D49" s="19"/>
      <c r="E49" s="19"/>
    </row>
    <row r="50" spans="1:12" ht="16.05" customHeight="1" x14ac:dyDescent="0.3">
      <c r="A50" s="24" t="s">
        <v>87</v>
      </c>
      <c r="B50" s="32">
        <v>8600</v>
      </c>
      <c r="C50" s="8"/>
      <c r="D50" s="8"/>
      <c r="E50" s="8"/>
    </row>
    <row r="51" spans="1:12" ht="16.05" customHeight="1" x14ac:dyDescent="0.3">
      <c r="A51" s="20" t="s">
        <v>88</v>
      </c>
      <c r="B51" s="34">
        <v>8.5</v>
      </c>
      <c r="C51" s="6"/>
      <c r="D51" s="6"/>
      <c r="E51" s="6"/>
    </row>
    <row r="52" spans="1:12" ht="16.05" customHeight="1" x14ac:dyDescent="0.3">
      <c r="A52" s="24" t="s">
        <v>89</v>
      </c>
      <c r="B52" s="32">
        <v>5</v>
      </c>
      <c r="C52" s="8"/>
      <c r="D52" s="8"/>
      <c r="E52" s="8"/>
    </row>
    <row r="53" spans="1:12" ht="7.05" customHeight="1" x14ac:dyDescent="0.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ht="28.05" customHeight="1" x14ac:dyDescent="0.3">
      <c r="A54" s="35" t="s">
        <v>90</v>
      </c>
    </row>
  </sheetData>
  <sheetProtection algorithmName="SHA-512" hashValue="pvOPlddVIKpz6D7zt4o73bj5zSA5GoWkCfBqumjMqCDAYLpAAsLqp/L+9pDsY2H4imN+sfKp5oJ5CE0unXvuHg==" saltValue="JyspPU5HH7NrwkdDXE59Uw==" spinCount="100000" sheet="1" objects="1" scenarios="1"/>
  <pageMargins left="0.5" right="0.5" top="0.75" bottom="0.75" header="0.5" footer="0.5"/>
  <pageSetup paperSize="9" orientation="landscape"/>
  <ignoredErrors>
    <ignoredError sqref="C10:E10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B3D6F"/>
  </sheetPr>
  <dimension ref="A1:P60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8" customWidth="1"/>
    <col min="2" max="5" width="13" customWidth="1"/>
    <col min="6" max="15" width="12" customWidth="1"/>
  </cols>
  <sheetData>
    <row r="1" spans="1:15" ht="31.95" customHeight="1" x14ac:dyDescent="0.3">
      <c r="A1" s="15" t="s">
        <v>91</v>
      </c>
    </row>
    <row r="2" spans="1:15" ht="18" customHeight="1" x14ac:dyDescent="0.3">
      <c r="A2" s="16" t="s">
        <v>1</v>
      </c>
    </row>
    <row r="3" spans="1:15" ht="13.95" customHeight="1" x14ac:dyDescent="0.3">
      <c r="A3" s="17" t="s">
        <v>92</v>
      </c>
    </row>
    <row r="6" spans="1:15" ht="24" customHeight="1" x14ac:dyDescent="0.3">
      <c r="A6" s="18"/>
      <c r="B6" s="18" t="s">
        <v>40</v>
      </c>
      <c r="C6" s="18" t="s">
        <v>41</v>
      </c>
      <c r="D6" s="18" t="s">
        <v>42</v>
      </c>
      <c r="E6" s="18" t="s">
        <v>43</v>
      </c>
      <c r="F6" s="18" t="s">
        <v>44</v>
      </c>
      <c r="G6" s="18" t="s">
        <v>45</v>
      </c>
      <c r="H6" s="18" t="s">
        <v>46</v>
      </c>
      <c r="I6" s="18" t="s">
        <v>47</v>
      </c>
      <c r="J6" s="18" t="s">
        <v>48</v>
      </c>
      <c r="K6" s="18" t="s">
        <v>49</v>
      </c>
      <c r="L6" s="18" t="s">
        <v>50</v>
      </c>
      <c r="M6" s="18" t="s">
        <v>51</v>
      </c>
      <c r="N6" s="18" t="s">
        <v>52</v>
      </c>
      <c r="O6" s="18" t="s">
        <v>53</v>
      </c>
    </row>
    <row r="7" spans="1:15" ht="7.0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5" ht="15" customHeight="1" x14ac:dyDescent="0.3">
      <c r="A8" s="19" t="s">
        <v>93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</row>
    <row r="9" spans="1:15" ht="16.05" customHeight="1" x14ac:dyDescent="0.3">
      <c r="A9" s="20" t="s">
        <v>94</v>
      </c>
      <c r="B9" s="22">
        <v>3700</v>
      </c>
      <c r="C9" s="22">
        <v>4050</v>
      </c>
      <c r="D9" s="22">
        <v>4400</v>
      </c>
      <c r="E9" s="36">
        <f>Assumptions!E9</f>
        <v>4650</v>
      </c>
      <c r="F9" s="37">
        <f>E9*(1+Assumptions!F10)</f>
        <v>4882.5</v>
      </c>
      <c r="G9" s="37">
        <f>F9*(1+Assumptions!G10)</f>
        <v>5077.8</v>
      </c>
      <c r="H9" s="37">
        <f>G9*(1+Assumptions!H10)</f>
        <v>5280.9120000000003</v>
      </c>
      <c r="I9" s="37">
        <f>H9*(1+Assumptions!I10)</f>
        <v>5439.3393600000009</v>
      </c>
      <c r="J9" s="37">
        <f>I9*(1+Assumptions!J10)</f>
        <v>5602.5195408000009</v>
      </c>
      <c r="K9" s="37">
        <f>J9*(1+Assumptions!K10)</f>
        <v>5770.5951270240012</v>
      </c>
      <c r="L9" s="37">
        <f>K9*(1+Assumptions!L10)</f>
        <v>5943.7129808347217</v>
      </c>
      <c r="M9" s="38">
        <f>L9*(1+Assumptions!M10)</f>
        <v>6092.3058053555897</v>
      </c>
      <c r="N9" s="38">
        <f>M9*(1+Assumptions!N10)</f>
        <v>6244.613450489479</v>
      </c>
      <c r="O9" s="38">
        <f>N9*(1+Assumptions!O10)</f>
        <v>6400.7287867517152</v>
      </c>
    </row>
    <row r="10" spans="1:15" ht="15" customHeight="1" x14ac:dyDescent="0.3">
      <c r="A10" s="39" t="s">
        <v>95</v>
      </c>
      <c r="B10" s="40" t="s">
        <v>58</v>
      </c>
      <c r="C10" s="41">
        <f t="shared" ref="C10:O10" si="0">C9/B9-1</f>
        <v>9.4594594594594517E-2</v>
      </c>
      <c r="D10" s="41">
        <f>D9/C9-1</f>
        <v>8.6419753086419693E-2</v>
      </c>
      <c r="E10" s="41">
        <f t="shared" si="0"/>
        <v>5.6818181818181879E-2</v>
      </c>
      <c r="F10" s="41">
        <f t="shared" si="0"/>
        <v>5.0000000000000044E-2</v>
      </c>
      <c r="G10" s="41">
        <f t="shared" si="0"/>
        <v>4.0000000000000036E-2</v>
      </c>
      <c r="H10" s="41">
        <f t="shared" si="0"/>
        <v>4.0000000000000036E-2</v>
      </c>
      <c r="I10" s="41">
        <f t="shared" si="0"/>
        <v>3.0000000000000027E-2</v>
      </c>
      <c r="J10" s="41">
        <f t="shared" si="0"/>
        <v>3.0000000000000027E-2</v>
      </c>
      <c r="K10" s="41">
        <f t="shared" si="0"/>
        <v>3.0000000000000027E-2</v>
      </c>
      <c r="L10" s="41">
        <f t="shared" si="0"/>
        <v>3.0000000000000027E-2</v>
      </c>
      <c r="M10" s="42">
        <f t="shared" si="0"/>
        <v>2.4999999999999911E-2</v>
      </c>
      <c r="N10" s="42">
        <f t="shared" si="0"/>
        <v>2.4999999999999911E-2</v>
      </c>
      <c r="O10" s="42">
        <f t="shared" si="0"/>
        <v>2.4999999999999911E-2</v>
      </c>
    </row>
    <row r="11" spans="1:15" ht="7.0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</row>
    <row r="12" spans="1:15" ht="15" customHeight="1" x14ac:dyDescent="0.3">
      <c r="A12" s="19" t="s">
        <v>96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</row>
    <row r="13" spans="1:15" ht="16.05" customHeight="1" x14ac:dyDescent="0.3">
      <c r="A13" s="20" t="s">
        <v>97</v>
      </c>
      <c r="B13" s="22">
        <v>2368</v>
      </c>
      <c r="C13" s="22">
        <v>2552</v>
      </c>
      <c r="D13" s="22">
        <v>2728</v>
      </c>
      <c r="E13" s="37">
        <f>E9*0.62</f>
        <v>2883</v>
      </c>
      <c r="F13" s="37">
        <f>F9*0.61</f>
        <v>2978.3249999999998</v>
      </c>
      <c r="G13" s="37">
        <f>G9*0.6</f>
        <v>3046.68</v>
      </c>
      <c r="H13" s="37">
        <f>H9*0.59</f>
        <v>3115.7380800000001</v>
      </c>
      <c r="I13" s="37">
        <f>I9*0.59</f>
        <v>3209.2102224000005</v>
      </c>
      <c r="J13" s="37">
        <f>J9*0.59</f>
        <v>3305.4865290720004</v>
      </c>
      <c r="K13" s="37">
        <f>K9*0.585</f>
        <v>3375.7981493090406</v>
      </c>
      <c r="L13" s="37">
        <f>L9*0.585</f>
        <v>3477.072093788312</v>
      </c>
      <c r="M13" s="38">
        <f>M9*0.585</f>
        <v>3563.9988961330196</v>
      </c>
      <c r="N13" s="38">
        <f>N9*0.585</f>
        <v>3653.098868536345</v>
      </c>
      <c r="O13" s="38">
        <f>O9*0.585</f>
        <v>3744.4263402497531</v>
      </c>
    </row>
    <row r="14" spans="1:15" ht="7.05" customHeight="1" x14ac:dyDescent="0.3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15" ht="16.95" customHeight="1" x14ac:dyDescent="0.3">
      <c r="A15" s="43" t="s">
        <v>98</v>
      </c>
      <c r="B15" s="44">
        <f t="shared" ref="B15:O15" si="1">B9-B13</f>
        <v>1332</v>
      </c>
      <c r="C15" s="44">
        <f t="shared" si="1"/>
        <v>1498</v>
      </c>
      <c r="D15" s="44">
        <f t="shared" si="1"/>
        <v>1672</v>
      </c>
      <c r="E15" s="44">
        <f t="shared" si="1"/>
        <v>1767</v>
      </c>
      <c r="F15" s="44">
        <f t="shared" si="1"/>
        <v>1904.1750000000002</v>
      </c>
      <c r="G15" s="44">
        <f t="shared" si="1"/>
        <v>2031.1200000000003</v>
      </c>
      <c r="H15" s="44">
        <f t="shared" si="1"/>
        <v>2165.1739200000002</v>
      </c>
      <c r="I15" s="44">
        <f t="shared" si="1"/>
        <v>2230.1291376000004</v>
      </c>
      <c r="J15" s="44">
        <f t="shared" si="1"/>
        <v>2297.0330117280005</v>
      </c>
      <c r="K15" s="44">
        <f t="shared" si="1"/>
        <v>2394.7969777149606</v>
      </c>
      <c r="L15" s="44">
        <f t="shared" si="1"/>
        <v>2466.6408870464097</v>
      </c>
      <c r="M15" s="44">
        <f t="shared" si="1"/>
        <v>2528.3069092225701</v>
      </c>
      <c r="N15" s="44">
        <f t="shared" si="1"/>
        <v>2591.514581953134</v>
      </c>
      <c r="O15" s="44">
        <f t="shared" si="1"/>
        <v>2656.3024465019621</v>
      </c>
    </row>
    <row r="16" spans="1:15" ht="15" customHeight="1" x14ac:dyDescent="0.3">
      <c r="A16" s="39" t="s">
        <v>99</v>
      </c>
      <c r="B16" s="41">
        <f t="shared" ref="B16:O16" si="2">B15/B9</f>
        <v>0.36</v>
      </c>
      <c r="C16" s="41">
        <f t="shared" si="2"/>
        <v>0.36987654320987656</v>
      </c>
      <c r="D16" s="41">
        <f t="shared" si="2"/>
        <v>0.38</v>
      </c>
      <c r="E16" s="41">
        <f t="shared" si="2"/>
        <v>0.38</v>
      </c>
      <c r="F16" s="41">
        <f t="shared" si="2"/>
        <v>0.39</v>
      </c>
      <c r="G16" s="41">
        <f t="shared" si="2"/>
        <v>0.40000000000000008</v>
      </c>
      <c r="H16" s="41">
        <f t="shared" si="2"/>
        <v>0.41000000000000003</v>
      </c>
      <c r="I16" s="41">
        <f t="shared" si="2"/>
        <v>0.41000000000000003</v>
      </c>
      <c r="J16" s="41">
        <f t="shared" si="2"/>
        <v>0.41000000000000003</v>
      </c>
      <c r="K16" s="41">
        <f t="shared" si="2"/>
        <v>0.41500000000000004</v>
      </c>
      <c r="L16" s="41">
        <f t="shared" si="2"/>
        <v>0.41500000000000004</v>
      </c>
      <c r="M16" s="42">
        <f t="shared" si="2"/>
        <v>0.41500000000000004</v>
      </c>
      <c r="N16" s="42">
        <f t="shared" si="2"/>
        <v>0.41500000000000004</v>
      </c>
      <c r="O16" s="42">
        <f t="shared" si="2"/>
        <v>0.41500000000000004</v>
      </c>
    </row>
    <row r="17" spans="1:15" ht="7.05" customHeight="1" x14ac:dyDescent="0.3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5" ht="15" customHeight="1" x14ac:dyDescent="0.3">
      <c r="A18" s="19" t="s">
        <v>100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</row>
    <row r="19" spans="1:15" ht="18" customHeight="1" x14ac:dyDescent="0.3">
      <c r="A19" s="45" t="s">
        <v>101</v>
      </c>
      <c r="B19" s="46">
        <f>B9*Assumptions!B13</f>
        <v>629</v>
      </c>
      <c r="C19" s="46">
        <f>C9*Assumptions!C13</f>
        <v>729</v>
      </c>
      <c r="D19" s="46">
        <f>D9*Assumptions!D13</f>
        <v>836</v>
      </c>
      <c r="E19" s="46">
        <f>E9*Assumptions!E13</f>
        <v>883.5</v>
      </c>
      <c r="F19" s="46">
        <f>F9*Assumptions!F13</f>
        <v>952.08749999999998</v>
      </c>
      <c r="G19" s="46">
        <f>G9*Assumptions!G13</f>
        <v>1015.5600000000001</v>
      </c>
      <c r="H19" s="46">
        <f>H9*Assumptions!H13</f>
        <v>1082.5869600000001</v>
      </c>
      <c r="I19" s="46">
        <f>I9*Assumptions!I13</f>
        <v>1142.2612656000001</v>
      </c>
      <c r="J19" s="46">
        <f>J9*Assumptions!J13</f>
        <v>1176.5291035680002</v>
      </c>
      <c r="K19" s="46">
        <f>K9*Assumptions!K13</f>
        <v>1240.6779523101602</v>
      </c>
      <c r="L19" s="46">
        <f>L9*Assumptions!L13</f>
        <v>1277.8982908794651</v>
      </c>
      <c r="M19" s="46">
        <f>M9*Assumptions!M13</f>
        <v>1309.8457481514517</v>
      </c>
      <c r="N19" s="46">
        <f>N9*Assumptions!N13</f>
        <v>1342.5918918552379</v>
      </c>
      <c r="O19" s="46">
        <f>O9*Assumptions!O13</f>
        <v>1376.1566891516188</v>
      </c>
    </row>
    <row r="20" spans="1:15" ht="15" customHeight="1" x14ac:dyDescent="0.3">
      <c r="A20" s="39" t="s">
        <v>102</v>
      </c>
      <c r="B20" s="47">
        <f t="shared" ref="B20:O20" si="3">B19/B9</f>
        <v>0.17</v>
      </c>
      <c r="C20" s="47">
        <f t="shared" si="3"/>
        <v>0.18</v>
      </c>
      <c r="D20" s="47">
        <f t="shared" si="3"/>
        <v>0.19</v>
      </c>
      <c r="E20" s="47">
        <f t="shared" si="3"/>
        <v>0.19</v>
      </c>
      <c r="F20" s="47">
        <f t="shared" si="3"/>
        <v>0.19500000000000001</v>
      </c>
      <c r="G20" s="47">
        <f t="shared" si="3"/>
        <v>0.2</v>
      </c>
      <c r="H20" s="47">
        <f t="shared" si="3"/>
        <v>0.20500000000000002</v>
      </c>
      <c r="I20" s="47">
        <f t="shared" si="3"/>
        <v>0.21</v>
      </c>
      <c r="J20" s="47">
        <f t="shared" si="3"/>
        <v>0.21</v>
      </c>
      <c r="K20" s="47">
        <f t="shared" si="3"/>
        <v>0.215</v>
      </c>
      <c r="L20" s="47">
        <f t="shared" si="3"/>
        <v>0.215</v>
      </c>
      <c r="M20" s="48">
        <f t="shared" si="3"/>
        <v>0.215</v>
      </c>
      <c r="N20" s="48">
        <f t="shared" si="3"/>
        <v>0.215</v>
      </c>
      <c r="O20" s="48">
        <f t="shared" si="3"/>
        <v>0.215</v>
      </c>
    </row>
    <row r="21" spans="1:15" ht="7.0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5" ht="15" customHeight="1" x14ac:dyDescent="0.3">
      <c r="A22" s="19" t="s">
        <v>103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</row>
    <row r="23" spans="1:15" ht="16.05" customHeight="1" x14ac:dyDescent="0.3">
      <c r="A23" s="20" t="s">
        <v>104</v>
      </c>
      <c r="B23" s="36">
        <f>B9*Assumptions!B16</f>
        <v>129.5</v>
      </c>
      <c r="C23" s="36">
        <f>C9*Assumptions!C16</f>
        <v>141.75</v>
      </c>
      <c r="D23" s="36">
        <f>D9*Assumptions!D16</f>
        <v>154.00000000000003</v>
      </c>
      <c r="E23" s="36">
        <f>E9*Assumptions!E16</f>
        <v>162.75000000000003</v>
      </c>
      <c r="F23" s="36">
        <f>F9*Assumptions!F16</f>
        <v>170.88750000000002</v>
      </c>
      <c r="G23" s="36">
        <f>G9*Assumptions!G16</f>
        <v>177.72300000000001</v>
      </c>
      <c r="H23" s="36">
        <f>H9*Assumptions!H16</f>
        <v>184.83192000000003</v>
      </c>
      <c r="I23" s="36">
        <f>I9*Assumptions!I16</f>
        <v>190.37687760000006</v>
      </c>
      <c r="J23" s="36">
        <f>J9*Assumptions!J16</f>
        <v>196.08818392800003</v>
      </c>
      <c r="K23" s="36">
        <f>K9*Assumptions!K16</f>
        <v>201.97082944584005</v>
      </c>
      <c r="L23" s="36">
        <f>L9*Assumptions!L16</f>
        <v>208.02995432921529</v>
      </c>
      <c r="M23" s="36">
        <f>M9*Assumptions!M16</f>
        <v>213.23070318744567</v>
      </c>
      <c r="N23" s="36">
        <f>N9*Assumptions!N16</f>
        <v>218.56147076713179</v>
      </c>
      <c r="O23" s="36">
        <f>O9*Assumptions!O16</f>
        <v>224.02550753631004</v>
      </c>
    </row>
    <row r="25" spans="1:15" ht="16.95" customHeight="1" x14ac:dyDescent="0.3">
      <c r="A25" s="43" t="s">
        <v>105</v>
      </c>
      <c r="B25" s="44">
        <f t="shared" ref="B25:O25" si="4">B19-B23</f>
        <v>499.5</v>
      </c>
      <c r="C25" s="44">
        <f t="shared" si="4"/>
        <v>587.25</v>
      </c>
      <c r="D25" s="44">
        <f t="shared" si="4"/>
        <v>682</v>
      </c>
      <c r="E25" s="44">
        <f t="shared" si="4"/>
        <v>720.75</v>
      </c>
      <c r="F25" s="44">
        <f t="shared" si="4"/>
        <v>781.19999999999993</v>
      </c>
      <c r="G25" s="44">
        <f t="shared" si="4"/>
        <v>837.83699999999999</v>
      </c>
      <c r="H25" s="44">
        <f t="shared" si="4"/>
        <v>897.75504000000001</v>
      </c>
      <c r="I25" s="44">
        <f t="shared" si="4"/>
        <v>951.88438800000006</v>
      </c>
      <c r="J25" s="44">
        <f t="shared" si="4"/>
        <v>980.44091964000017</v>
      </c>
      <c r="K25" s="44">
        <f t="shared" si="4"/>
        <v>1038.7071228643201</v>
      </c>
      <c r="L25" s="44">
        <f t="shared" si="4"/>
        <v>1069.8683365502498</v>
      </c>
      <c r="M25" s="44">
        <f t="shared" si="4"/>
        <v>1096.6150449640061</v>
      </c>
      <c r="N25" s="44">
        <f t="shared" si="4"/>
        <v>1124.0304210881061</v>
      </c>
      <c r="O25" s="44">
        <f t="shared" si="4"/>
        <v>1152.1311816153088</v>
      </c>
    </row>
    <row r="26" spans="1:15" ht="15" customHeight="1" x14ac:dyDescent="0.3">
      <c r="A26" s="39" t="s">
        <v>106</v>
      </c>
      <c r="B26" s="41">
        <f t="shared" ref="B26:O26" si="5">B25/B9</f>
        <v>0.13500000000000001</v>
      </c>
      <c r="C26" s="41">
        <f t="shared" si="5"/>
        <v>0.14499999999999999</v>
      </c>
      <c r="D26" s="41">
        <f t="shared" si="5"/>
        <v>0.155</v>
      </c>
      <c r="E26" s="41">
        <f t="shared" si="5"/>
        <v>0.155</v>
      </c>
      <c r="F26" s="41">
        <f t="shared" si="5"/>
        <v>0.15999999999999998</v>
      </c>
      <c r="G26" s="41">
        <f t="shared" si="5"/>
        <v>0.16499999999999998</v>
      </c>
      <c r="H26" s="41">
        <f t="shared" si="5"/>
        <v>0.16999999999999998</v>
      </c>
      <c r="I26" s="41">
        <f t="shared" si="5"/>
        <v>0.17499999999999999</v>
      </c>
      <c r="J26" s="41">
        <f t="shared" si="5"/>
        <v>0.17500000000000002</v>
      </c>
      <c r="K26" s="41">
        <f t="shared" si="5"/>
        <v>0.18</v>
      </c>
      <c r="L26" s="41">
        <f t="shared" si="5"/>
        <v>0.17999999999999997</v>
      </c>
      <c r="M26" s="42">
        <f t="shared" si="5"/>
        <v>0.18</v>
      </c>
      <c r="N26" s="42">
        <f t="shared" si="5"/>
        <v>0.18</v>
      </c>
      <c r="O26" s="42">
        <f t="shared" si="5"/>
        <v>0.18000000000000002</v>
      </c>
    </row>
    <row r="27" spans="1:15" ht="7.05" customHeight="1" x14ac:dyDescent="0.3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5" ht="15" customHeight="1" x14ac:dyDescent="0.3">
      <c r="A28" s="19" t="s">
        <v>107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</row>
    <row r="29" spans="1:15" ht="16.05" customHeight="1" x14ac:dyDescent="0.3">
      <c r="A29" s="20" t="s">
        <v>108</v>
      </c>
      <c r="B29" s="22">
        <v>119</v>
      </c>
      <c r="C29" s="22">
        <v>111</v>
      </c>
      <c r="D29" s="22">
        <v>105</v>
      </c>
      <c r="E29" s="22">
        <v>97</v>
      </c>
      <c r="F29" s="22">
        <v>119</v>
      </c>
      <c r="G29" s="22">
        <v>104</v>
      </c>
      <c r="H29" s="22">
        <v>89</v>
      </c>
      <c r="I29" s="22">
        <v>74</v>
      </c>
      <c r="J29" s="22">
        <v>59</v>
      </c>
      <c r="K29" s="22">
        <v>44</v>
      </c>
      <c r="L29" s="22">
        <v>30</v>
      </c>
      <c r="M29" s="22">
        <v>0</v>
      </c>
      <c r="N29" s="22">
        <v>0</v>
      </c>
      <c r="O29" s="22">
        <v>0</v>
      </c>
    </row>
    <row r="31" spans="1:15" ht="16.95" customHeight="1" x14ac:dyDescent="0.3">
      <c r="A31" s="43" t="s">
        <v>109</v>
      </c>
      <c r="B31" s="44">
        <f t="shared" ref="B31:O31" si="6">B25-B29</f>
        <v>380.5</v>
      </c>
      <c r="C31" s="44">
        <f t="shared" si="6"/>
        <v>476.25</v>
      </c>
      <c r="D31" s="44">
        <f t="shared" si="6"/>
        <v>577</v>
      </c>
      <c r="E31" s="44">
        <f t="shared" si="6"/>
        <v>623.75</v>
      </c>
      <c r="F31" s="44">
        <f t="shared" si="6"/>
        <v>662.19999999999993</v>
      </c>
      <c r="G31" s="44">
        <f t="shared" si="6"/>
        <v>733.83699999999999</v>
      </c>
      <c r="H31" s="44">
        <f t="shared" si="6"/>
        <v>808.75504000000001</v>
      </c>
      <c r="I31" s="44">
        <f t="shared" si="6"/>
        <v>877.88438800000006</v>
      </c>
      <c r="J31" s="44">
        <f t="shared" si="6"/>
        <v>921.44091964000017</v>
      </c>
      <c r="K31" s="44">
        <f t="shared" si="6"/>
        <v>994.70712286432013</v>
      </c>
      <c r="L31" s="44">
        <f t="shared" si="6"/>
        <v>1039.8683365502498</v>
      </c>
      <c r="M31" s="44">
        <f t="shared" si="6"/>
        <v>1096.6150449640061</v>
      </c>
      <c r="N31" s="44">
        <f t="shared" si="6"/>
        <v>1124.0304210881061</v>
      </c>
      <c r="O31" s="44">
        <f t="shared" si="6"/>
        <v>1152.1311816153088</v>
      </c>
    </row>
    <row r="33" spans="1:15" ht="16.05" customHeight="1" x14ac:dyDescent="0.3">
      <c r="A33" s="24" t="s">
        <v>110</v>
      </c>
      <c r="B33" s="49">
        <f>MAX(B31*Assumptions!B19,0)</f>
        <v>95.125</v>
      </c>
      <c r="C33" s="49">
        <f>MAX(C31*Assumptions!C19,0)</f>
        <v>119.0625</v>
      </c>
      <c r="D33" s="49">
        <f>MAX(D31*Assumptions!D19,0)</f>
        <v>144.25</v>
      </c>
      <c r="E33" s="49">
        <f>MAX(E31*Assumptions!E19,0)</f>
        <v>155.9375</v>
      </c>
      <c r="F33" s="49">
        <f>MAX(F31*Assumptions!F19,0)</f>
        <v>165.54999999999998</v>
      </c>
      <c r="G33" s="49">
        <f>MAX(G31*Assumptions!G19,0)</f>
        <v>183.45925</v>
      </c>
      <c r="H33" s="49">
        <f>MAX(H31*Assumptions!H19,0)</f>
        <v>202.18876</v>
      </c>
      <c r="I33" s="49">
        <f>MAX(I31*Assumptions!I19,0)</f>
        <v>219.47109700000001</v>
      </c>
      <c r="J33" s="49">
        <f>MAX(J31*Assumptions!J19,0)</f>
        <v>230.36022991000004</v>
      </c>
      <c r="K33" s="49">
        <f>MAX(K31*Assumptions!K19,0)</f>
        <v>248.67678071608003</v>
      </c>
      <c r="L33" s="49">
        <f>MAX(L31*Assumptions!L19,0)</f>
        <v>259.96708413756244</v>
      </c>
      <c r="M33" s="49">
        <f>MAX(M31*Assumptions!M19,0)</f>
        <v>274.15376124100152</v>
      </c>
      <c r="N33" s="49">
        <f>MAX(N31*Assumptions!N19,0)</f>
        <v>281.00760527202652</v>
      </c>
      <c r="O33" s="49">
        <f>MAX(O31*Assumptions!O19,0)</f>
        <v>288.03279540382721</v>
      </c>
    </row>
    <row r="34" spans="1:15" ht="7.05" customHeight="1" x14ac:dyDescent="0.3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spans="1:15" ht="18" customHeight="1" x14ac:dyDescent="0.3">
      <c r="A35" s="50" t="s">
        <v>111</v>
      </c>
      <c r="B35" s="51">
        <f t="shared" ref="B35:O35" si="7">B31-B33</f>
        <v>285.375</v>
      </c>
      <c r="C35" s="51">
        <f t="shared" si="7"/>
        <v>357.1875</v>
      </c>
      <c r="D35" s="51">
        <f t="shared" si="7"/>
        <v>432.75</v>
      </c>
      <c r="E35" s="51">
        <f t="shared" si="7"/>
        <v>467.8125</v>
      </c>
      <c r="F35" s="51">
        <f t="shared" si="7"/>
        <v>496.65</v>
      </c>
      <c r="G35" s="51">
        <f t="shared" si="7"/>
        <v>550.37774999999999</v>
      </c>
      <c r="H35" s="51">
        <f t="shared" si="7"/>
        <v>606.56628000000001</v>
      </c>
      <c r="I35" s="51">
        <f t="shared" si="7"/>
        <v>658.41329100000007</v>
      </c>
      <c r="J35" s="51">
        <f t="shared" si="7"/>
        <v>691.08068973000013</v>
      </c>
      <c r="K35" s="51">
        <f t="shared" si="7"/>
        <v>746.03034214824015</v>
      </c>
      <c r="L35" s="51">
        <f t="shared" si="7"/>
        <v>779.90125241268731</v>
      </c>
      <c r="M35" s="51">
        <f t="shared" si="7"/>
        <v>822.4612837230045</v>
      </c>
      <c r="N35" s="51">
        <f t="shared" si="7"/>
        <v>843.02281581607963</v>
      </c>
      <c r="O35" s="51">
        <f t="shared" si="7"/>
        <v>864.09838621148162</v>
      </c>
    </row>
    <row r="36" spans="1:15" ht="15" customHeight="1" x14ac:dyDescent="0.3">
      <c r="A36" s="39" t="s">
        <v>112</v>
      </c>
      <c r="B36" s="47">
        <f t="shared" ref="B36:O36" si="8">B35/B9</f>
        <v>7.7128378378378382E-2</v>
      </c>
      <c r="C36" s="47">
        <f t="shared" si="8"/>
        <v>8.819444444444445E-2</v>
      </c>
      <c r="D36" s="47">
        <f t="shared" si="8"/>
        <v>9.8352272727272733E-2</v>
      </c>
      <c r="E36" s="47">
        <f t="shared" si="8"/>
        <v>0.10060483870967742</v>
      </c>
      <c r="F36" s="47">
        <f t="shared" si="8"/>
        <v>0.10172043010752688</v>
      </c>
      <c r="G36" s="47">
        <f t="shared" si="8"/>
        <v>0.10838901689708141</v>
      </c>
      <c r="H36" s="47">
        <f t="shared" si="8"/>
        <v>0.11486013779438096</v>
      </c>
      <c r="I36" s="47">
        <f t="shared" si="8"/>
        <v>0.12104655499928212</v>
      </c>
      <c r="J36" s="47">
        <f t="shared" si="8"/>
        <v>0.12335176784253012</v>
      </c>
      <c r="K36" s="47">
        <f t="shared" si="8"/>
        <v>0.12928135239544716</v>
      </c>
      <c r="L36" s="47">
        <f t="shared" si="8"/>
        <v>0.13121448746388822</v>
      </c>
      <c r="M36" s="48">
        <f t="shared" si="8"/>
        <v>0.13499999999999998</v>
      </c>
      <c r="N36" s="48">
        <f t="shared" si="8"/>
        <v>0.13499999999999998</v>
      </c>
      <c r="O36" s="48">
        <f t="shared" si="8"/>
        <v>0.13500000000000001</v>
      </c>
    </row>
    <row r="37" spans="1:15" ht="7.05" customHeight="1" x14ac:dyDescent="0.3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</row>
    <row r="38" spans="1:15" ht="7.05" customHeight="1" x14ac:dyDescent="0.3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40" spans="1:15" ht="15" customHeight="1" x14ac:dyDescent="0.3">
      <c r="A40" s="52" t="s">
        <v>113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2"/>
      <c r="O40" s="52"/>
    </row>
    <row r="41" spans="1:15" ht="16.05" customHeight="1" x14ac:dyDescent="0.3">
      <c r="A41" s="20" t="s">
        <v>114</v>
      </c>
      <c r="B41" s="37"/>
      <c r="C41" s="37"/>
      <c r="D41" s="37"/>
      <c r="E41" s="37"/>
      <c r="F41" s="37">
        <f>F25*(1-Assumptions!F19)</f>
        <v>585.9</v>
      </c>
      <c r="G41" s="37">
        <f>G25*(1-Assumptions!G19)</f>
        <v>628.37774999999999</v>
      </c>
      <c r="H41" s="37">
        <f>H25*(1-Assumptions!H19)</f>
        <v>673.31628000000001</v>
      </c>
      <c r="I41" s="37">
        <f>I25*(1-Assumptions!I19)</f>
        <v>713.91329100000007</v>
      </c>
      <c r="J41" s="37">
        <f>J25*(1-Assumptions!J19)</f>
        <v>735.33068973000013</v>
      </c>
      <c r="K41" s="37">
        <f>K25*(1-Assumptions!K19)</f>
        <v>779.03034214824015</v>
      </c>
      <c r="L41" s="37">
        <f>L25*(1-Assumptions!L19)</f>
        <v>802.40125241268731</v>
      </c>
      <c r="M41" s="37">
        <f>M25*(1-Assumptions!M19)</f>
        <v>822.4612837230045</v>
      </c>
      <c r="N41" s="37">
        <f>N25*(1-Assumptions!N19)</f>
        <v>843.02281581607963</v>
      </c>
      <c r="O41" s="37">
        <f>O25*(1-Assumptions!O19)</f>
        <v>864.09838621148162</v>
      </c>
    </row>
    <row r="42" spans="1:15" ht="16.05" customHeight="1" x14ac:dyDescent="0.3">
      <c r="A42" s="24" t="s">
        <v>115</v>
      </c>
      <c r="B42" s="33"/>
      <c r="C42" s="33"/>
      <c r="D42" s="33"/>
      <c r="E42" s="33"/>
      <c r="F42" s="33">
        <f t="shared" ref="F42:O42" si="9">F23</f>
        <v>170.88750000000002</v>
      </c>
      <c r="G42" s="33">
        <f t="shared" si="9"/>
        <v>177.72300000000001</v>
      </c>
      <c r="H42" s="33">
        <f t="shared" si="9"/>
        <v>184.83192000000003</v>
      </c>
      <c r="I42" s="33">
        <f t="shared" si="9"/>
        <v>190.37687760000006</v>
      </c>
      <c r="J42" s="33">
        <f t="shared" si="9"/>
        <v>196.08818392800003</v>
      </c>
      <c r="K42" s="33">
        <f t="shared" si="9"/>
        <v>201.97082944584005</v>
      </c>
      <c r="L42" s="33">
        <f t="shared" si="9"/>
        <v>208.02995432921529</v>
      </c>
      <c r="M42" s="33">
        <f t="shared" si="9"/>
        <v>213.23070318744567</v>
      </c>
      <c r="N42" s="33">
        <f t="shared" si="9"/>
        <v>218.56147076713179</v>
      </c>
      <c r="O42" s="33">
        <f t="shared" si="9"/>
        <v>224.02550753631004</v>
      </c>
    </row>
    <row r="43" spans="1:15" ht="16.05" customHeight="1" x14ac:dyDescent="0.3">
      <c r="A43" s="20" t="s">
        <v>116</v>
      </c>
      <c r="B43" s="37"/>
      <c r="C43" s="37"/>
      <c r="D43" s="37"/>
      <c r="E43" s="37"/>
      <c r="F43" s="37">
        <f>-F9*Assumptions!F17</f>
        <v>-195.3</v>
      </c>
      <c r="G43" s="37">
        <f>-G9*Assumptions!G17</f>
        <v>-203.11200000000002</v>
      </c>
      <c r="H43" s="37">
        <f>-H9*Assumptions!H17</f>
        <v>-211.23648000000003</v>
      </c>
      <c r="I43" s="37">
        <f>-I9*Assumptions!I17</f>
        <v>-217.57357440000004</v>
      </c>
      <c r="J43" s="37">
        <f>-J9*Assumptions!J17</f>
        <v>-224.10078163200004</v>
      </c>
      <c r="K43" s="37">
        <f>-K9*Assumptions!K17</f>
        <v>-230.82380508096006</v>
      </c>
      <c r="L43" s="37">
        <f>-L9*Assumptions!L17</f>
        <v>-237.74851923338886</v>
      </c>
      <c r="M43" s="37">
        <f>-M9*Assumptions!M17</f>
        <v>-243.69223221422359</v>
      </c>
      <c r="N43" s="37">
        <f>-N9*Assumptions!N17</f>
        <v>-249.78453801957917</v>
      </c>
      <c r="O43" s="37">
        <f>-O9*Assumptions!O17</f>
        <v>-256.0291514700686</v>
      </c>
    </row>
    <row r="44" spans="1:15" ht="16.05" customHeight="1" x14ac:dyDescent="0.3">
      <c r="A44" s="24" t="s">
        <v>117</v>
      </c>
      <c r="B44" s="49"/>
      <c r="C44" s="49"/>
      <c r="D44" s="49"/>
      <c r="E44" s="49"/>
      <c r="F44" s="49">
        <f>-(F9-E9)*Assumptions!F18</f>
        <v>-17.4375</v>
      </c>
      <c r="G44" s="49">
        <f>-(G9-F9)*Assumptions!G18</f>
        <v>-14.647500000000013</v>
      </c>
      <c r="H44" s="49">
        <f>-(H9-G9)*Assumptions!H18</f>
        <v>-15.233400000000005</v>
      </c>
      <c r="I44" s="49">
        <f>-(I9-H9)*Assumptions!I18</f>
        <v>-11.882052000000044</v>
      </c>
      <c r="J44" s="49">
        <f>-(J9-I9)*Assumptions!J18</f>
        <v>-12.238513560000001</v>
      </c>
      <c r="K44" s="49">
        <f>-(K9-J9)*Assumptions!K18</f>
        <v>-12.605668966800021</v>
      </c>
      <c r="L44" s="49">
        <f>-(L9-K9)*Assumptions!L18</f>
        <v>-12.983839035804044</v>
      </c>
      <c r="M44" s="49">
        <f>-(M9-L9)*Assumptions!M18</f>
        <v>-11.144461839065093</v>
      </c>
      <c r="N44" s="49">
        <f>-(N9-M9)*Assumptions!N18</f>
        <v>-11.423073385041699</v>
      </c>
      <c r="O44" s="49">
        <f>-(O9-N9)*Assumptions!O18</f>
        <v>-11.708650219667719</v>
      </c>
    </row>
    <row r="45" spans="1:15" ht="7.05" customHeight="1" x14ac:dyDescent="0.3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5" ht="18" customHeight="1" x14ac:dyDescent="0.3">
      <c r="A46" s="50" t="s">
        <v>118</v>
      </c>
      <c r="B46" s="51"/>
      <c r="C46" s="51"/>
      <c r="D46" s="51"/>
      <c r="E46" s="51"/>
      <c r="F46" s="51">
        <f t="shared" ref="F46:O46" si="10">F41+F42+F43+F44</f>
        <v>544.04999999999995</v>
      </c>
      <c r="G46" s="51">
        <f t="shared" si="10"/>
        <v>588.34124999999995</v>
      </c>
      <c r="H46" s="51">
        <f t="shared" si="10"/>
        <v>631.6783200000001</v>
      </c>
      <c r="I46" s="51">
        <f t="shared" si="10"/>
        <v>674.8345422000001</v>
      </c>
      <c r="J46" s="51">
        <f t="shared" si="10"/>
        <v>695.07957846600016</v>
      </c>
      <c r="K46" s="51">
        <f t="shared" si="10"/>
        <v>737.57169754632014</v>
      </c>
      <c r="L46" s="51">
        <f t="shared" si="10"/>
        <v>759.69884847270964</v>
      </c>
      <c r="M46" s="51">
        <f t="shared" si="10"/>
        <v>780.85529285716143</v>
      </c>
      <c r="N46" s="51">
        <f t="shared" si="10"/>
        <v>800.37667517859063</v>
      </c>
      <c r="O46" s="51">
        <f t="shared" si="10"/>
        <v>820.3860920580554</v>
      </c>
    </row>
    <row r="47" spans="1:15" ht="15" customHeight="1" x14ac:dyDescent="0.3">
      <c r="A47" s="53" t="s">
        <v>119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</row>
    <row r="48" spans="1:15" ht="16.05" customHeight="1" x14ac:dyDescent="0.3">
      <c r="A48" s="20" t="s">
        <v>120</v>
      </c>
      <c r="B48" s="54"/>
      <c r="C48" s="54"/>
      <c r="D48" s="54"/>
      <c r="E48" s="54"/>
      <c r="F48" s="54">
        <f>1/(1+Assumptions!B38)^1</f>
        <v>0.91418123643012228</v>
      </c>
      <c r="G48" s="54">
        <f>1/(1+Assumptions!B38)^2</f>
        <v>0.83572733304090718</v>
      </c>
      <c r="H48" s="54">
        <f>1/(1+Assumptions!B38)^3</f>
        <v>0.76400624663778505</v>
      </c>
      <c r="I48" s="54">
        <f>1/(1+Assumptions!B38)^4</f>
        <v>0.69844017519166735</v>
      </c>
      <c r="J48" s="54">
        <f>1/(1+Assumptions!B38)^5</f>
        <v>0.63850090292918982</v>
      </c>
      <c r="K48" s="54">
        <f>1/(1+Assumptions!B38)^6</f>
        <v>0.58370554490155613</v>
      </c>
      <c r="L48" s="54">
        <f>1/(1+Assumptions!B38)^7</f>
        <v>0.53361265674922287</v>
      </c>
      <c r="M48" s="54">
        <f>1/(1+Assumptions!B38)^8</f>
        <v>0.48781867832176701</v>
      </c>
      <c r="N48" s="54">
        <f>1/(1+Assumptions!B38)^9</f>
        <v>0.44595468250190107</v>
      </c>
      <c r="O48" s="54">
        <f>1/(1+Assumptions!B38)^10</f>
        <v>0.40768340304139056</v>
      </c>
    </row>
    <row r="50" spans="1:16" ht="16.05" customHeight="1" x14ac:dyDescent="0.3">
      <c r="A50" s="24" t="s">
        <v>121</v>
      </c>
      <c r="B50" s="49"/>
      <c r="C50" s="49"/>
      <c r="D50" s="49"/>
      <c r="E50" s="49"/>
      <c r="F50" s="49">
        <f t="shared" ref="F50:O50" si="11">F46*F48</f>
        <v>497.360301679808</v>
      </c>
      <c r="G50" s="49">
        <f t="shared" si="11"/>
        <v>491.69286378045359</v>
      </c>
      <c r="H50" s="49">
        <f t="shared" si="11"/>
        <v>482.60618234566181</v>
      </c>
      <c r="I50" s="49">
        <f t="shared" si="11"/>
        <v>471.33155587955667</v>
      </c>
      <c r="J50" s="49">
        <f t="shared" si="11"/>
        <v>443.80893845818173</v>
      </c>
      <c r="K50" s="49">
        <f t="shared" si="11"/>
        <v>430.52468962024057</v>
      </c>
      <c r="L50" s="49">
        <f t="shared" si="11"/>
        <v>405.38492086284788</v>
      </c>
      <c r="M50" s="49">
        <f t="shared" si="11"/>
        <v>380.91579692213679</v>
      </c>
      <c r="N50" s="49">
        <f t="shared" si="11"/>
        <v>356.9317260611956</v>
      </c>
      <c r="O50" s="49">
        <f t="shared" si="11"/>
        <v>334.45779381805556</v>
      </c>
    </row>
    <row r="51" spans="1:16" ht="7.05" customHeight="1" x14ac:dyDescent="0.3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6" ht="16.95" customHeight="1" x14ac:dyDescent="0.3">
      <c r="A52" s="43" t="s">
        <v>122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P52" s="44">
        <f>SUM(F50:O50)</f>
        <v>4295.0147694281386</v>
      </c>
    </row>
    <row r="54" spans="1:16" ht="16.05" customHeight="1" x14ac:dyDescent="0.3">
      <c r="A54" s="20" t="s">
        <v>123</v>
      </c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P54" s="38">
        <f>O46*(1+Assumptions!B41)</f>
        <v>840.89574435950669</v>
      </c>
    </row>
    <row r="55" spans="1:16" ht="16.05" customHeight="1" x14ac:dyDescent="0.3">
      <c r="A55" s="24" t="s">
        <v>124</v>
      </c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P55" s="49">
        <f>P54/(Assumptions!B38-Assumptions!B41)</f>
        <v>12209.01262227959</v>
      </c>
    </row>
    <row r="56" spans="1:16" ht="16.05" customHeight="1" x14ac:dyDescent="0.3">
      <c r="A56" s="24" t="s">
        <v>125</v>
      </c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P56" s="49">
        <f>P55*O48</f>
        <v>4977.411813626235</v>
      </c>
    </row>
    <row r="57" spans="1:16" ht="7.05" customHeight="1" x14ac:dyDescent="0.3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6" ht="18" customHeight="1" x14ac:dyDescent="0.3">
      <c r="A58" s="50" t="s">
        <v>126</v>
      </c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>
        <f>P52+P56</f>
        <v>9272.4265830543736</v>
      </c>
    </row>
    <row r="59" spans="1:16" ht="7.05" customHeight="1" x14ac:dyDescent="0.3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6" ht="28.05" customHeight="1" x14ac:dyDescent="0.3">
      <c r="A60" s="35" t="s">
        <v>127</v>
      </c>
    </row>
  </sheetData>
  <sheetProtection algorithmName="SHA-512" hashValue="4d0/L7RnsViyYuH05tIiXZAOPCW4d6+Yvwsw42HDCHDgqtzSVIcpmIcznH5p9pGa6Ev08YO1xXG4tbgRrem96Q==" saltValue="5WDhENAOhpcDKuZioXFjlA==" spinCount="100000" sheet="1" objects="1" scenarios="1"/>
  <pageMargins left="0.5" right="0.5" top="0.75" bottom="0.75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A5298"/>
  </sheetPr>
  <dimension ref="A1:L31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40" customWidth="1"/>
    <col min="2" max="2" width="18" customWidth="1"/>
    <col min="3" max="3" width="24" customWidth="1"/>
  </cols>
  <sheetData>
    <row r="1" spans="1:12" ht="31.95" customHeight="1" x14ac:dyDescent="0.3">
      <c r="A1" s="15" t="s">
        <v>128</v>
      </c>
    </row>
    <row r="2" spans="1:12" ht="18" customHeight="1" x14ac:dyDescent="0.3">
      <c r="A2" s="16" t="s">
        <v>1</v>
      </c>
    </row>
    <row r="3" spans="1:12" ht="13.95" customHeight="1" x14ac:dyDescent="0.3">
      <c r="A3" s="17" t="s">
        <v>129</v>
      </c>
    </row>
    <row r="6" spans="1:12" ht="24" customHeight="1" x14ac:dyDescent="0.3">
      <c r="A6" s="18" t="s">
        <v>130</v>
      </c>
      <c r="B6" s="18" t="s">
        <v>131</v>
      </c>
      <c r="C6" s="18" t="s">
        <v>132</v>
      </c>
    </row>
    <row r="7" spans="1:12" ht="7.05" customHeight="1" x14ac:dyDescent="0.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 ht="15" customHeight="1" x14ac:dyDescent="0.3">
      <c r="A8" s="19" t="s">
        <v>133</v>
      </c>
      <c r="B8" s="19"/>
      <c r="C8" s="19"/>
    </row>
    <row r="9" spans="1:12" ht="16.95" customHeight="1" x14ac:dyDescent="0.3">
      <c r="A9" s="24" t="s">
        <v>134</v>
      </c>
      <c r="B9" s="30">
        <f>Assumptions!B24</f>
        <v>4.2999999999999997E-2</v>
      </c>
      <c r="C9" s="56" t="s">
        <v>135</v>
      </c>
    </row>
    <row r="10" spans="1:12" ht="16.95" customHeight="1" x14ac:dyDescent="0.3">
      <c r="A10" s="20" t="s">
        <v>136</v>
      </c>
      <c r="B10" s="31">
        <f>Assumptions!B25</f>
        <v>1.2</v>
      </c>
      <c r="C10" s="57" t="s">
        <v>137</v>
      </c>
    </row>
    <row r="11" spans="1:12" ht="16.95" customHeight="1" x14ac:dyDescent="0.3">
      <c r="A11" s="24" t="s">
        <v>138</v>
      </c>
      <c r="B11" s="30">
        <f>Assumptions!B26</f>
        <v>5.5E-2</v>
      </c>
      <c r="C11" s="56" t="s">
        <v>139</v>
      </c>
    </row>
    <row r="12" spans="1:12" ht="16.95" customHeight="1" x14ac:dyDescent="0.3">
      <c r="A12" s="20" t="s">
        <v>140</v>
      </c>
      <c r="B12" s="31">
        <f>Assumptions!B27</f>
        <v>1E-3</v>
      </c>
      <c r="C12" s="57" t="s">
        <v>141</v>
      </c>
    </row>
    <row r="13" spans="1:12" ht="16.95" customHeight="1" x14ac:dyDescent="0.3">
      <c r="A13" s="24"/>
      <c r="B13" s="30"/>
      <c r="C13" s="56"/>
    </row>
    <row r="14" spans="1:12" ht="16.95" customHeight="1" x14ac:dyDescent="0.3">
      <c r="A14" s="58" t="s">
        <v>142</v>
      </c>
      <c r="B14" s="59">
        <f>Assumptions!B28</f>
        <v>0.11</v>
      </c>
      <c r="C14" s="57" t="b">
        <f>4.3% + 1.2*5.5% + 0.1% = 11%</f>
        <v>1</v>
      </c>
    </row>
    <row r="15" spans="1:12" ht="7.0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15" customHeight="1" x14ac:dyDescent="0.3">
      <c r="A16" s="19" t="s">
        <v>143</v>
      </c>
      <c r="B16" s="19"/>
      <c r="C16" s="19"/>
    </row>
    <row r="17" spans="1:12" ht="16.95" customHeight="1" x14ac:dyDescent="0.3">
      <c r="A17" s="24" t="s">
        <v>144</v>
      </c>
      <c r="B17" s="30">
        <f>Assumptions!B31</f>
        <v>7.4999999999999997E-2</v>
      </c>
      <c r="C17" s="56" t="s">
        <v>145</v>
      </c>
    </row>
    <row r="18" spans="1:12" ht="16.95" customHeight="1" x14ac:dyDescent="0.3">
      <c r="A18" s="20" t="s">
        <v>146</v>
      </c>
      <c r="B18" s="31">
        <f>Assumptions!B32</f>
        <v>0.25</v>
      </c>
      <c r="C18" s="57" t="s">
        <v>147</v>
      </c>
    </row>
    <row r="19" spans="1:12" ht="16.95" customHeight="1" x14ac:dyDescent="0.3">
      <c r="A19" s="24"/>
      <c r="B19" s="30"/>
      <c r="C19" s="56"/>
    </row>
    <row r="20" spans="1:12" ht="16.95" customHeight="1" x14ac:dyDescent="0.3">
      <c r="A20" s="58" t="s">
        <v>148</v>
      </c>
      <c r="B20" s="59">
        <f>Assumptions!B33</f>
        <v>5.6249999999999994E-2</v>
      </c>
      <c r="C20" s="57"/>
    </row>
    <row r="21" spans="1:12" ht="7.05" customHeight="1" x14ac:dyDescent="0.3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</row>
    <row r="22" spans="1:12" ht="15" customHeight="1" x14ac:dyDescent="0.3">
      <c r="A22" s="19" t="s">
        <v>149</v>
      </c>
      <c r="B22" s="19"/>
      <c r="C22" s="19"/>
    </row>
    <row r="23" spans="1:12" ht="16.95" customHeight="1" x14ac:dyDescent="0.3">
      <c r="A23" s="24" t="s">
        <v>150</v>
      </c>
      <c r="B23" s="30">
        <f>Assumptions!B36</f>
        <v>0.7</v>
      </c>
      <c r="C23" s="56" t="s">
        <v>151</v>
      </c>
    </row>
    <row r="24" spans="1:12" ht="16.95" customHeight="1" x14ac:dyDescent="0.3">
      <c r="A24" s="20" t="s">
        <v>152</v>
      </c>
      <c r="B24" s="31">
        <f>Assumptions!B37</f>
        <v>0.3</v>
      </c>
      <c r="C24" s="57" t="s">
        <v>153</v>
      </c>
    </row>
    <row r="25" spans="1:12" ht="16.95" customHeight="1" x14ac:dyDescent="0.3">
      <c r="A25" s="24"/>
      <c r="B25" s="30"/>
      <c r="C25" s="56"/>
    </row>
    <row r="26" spans="1:12" ht="16.95" customHeight="1" x14ac:dyDescent="0.3">
      <c r="A26" s="20" t="s">
        <v>154</v>
      </c>
      <c r="B26" s="31">
        <f>Assumptions!B28*Assumptions!B36</f>
        <v>7.6999999999999999E-2</v>
      </c>
      <c r="C26" s="57" t="s">
        <v>155</v>
      </c>
    </row>
    <row r="27" spans="1:12" ht="16.95" customHeight="1" x14ac:dyDescent="0.3">
      <c r="A27" s="24" t="s">
        <v>156</v>
      </c>
      <c r="B27" s="30">
        <f>Assumptions!B33*Assumptions!B37</f>
        <v>1.6874999999999998E-2</v>
      </c>
      <c r="C27" s="56" t="s">
        <v>157</v>
      </c>
    </row>
    <row r="28" spans="1:12" ht="16.95" customHeight="1" x14ac:dyDescent="0.3">
      <c r="A28" s="20"/>
      <c r="B28" s="31"/>
      <c r="C28" s="57"/>
    </row>
    <row r="29" spans="1:12" ht="19.95" customHeight="1" x14ac:dyDescent="0.3">
      <c r="A29" s="60" t="s">
        <v>158</v>
      </c>
      <c r="B29" s="61">
        <f>Assumptions!B38</f>
        <v>9.3875E-2</v>
      </c>
      <c r="C29" s="62"/>
      <c r="D29" s="63"/>
      <c r="E29" s="63"/>
      <c r="F29" s="63"/>
      <c r="G29" s="63"/>
      <c r="H29" s="63"/>
      <c r="I29" s="63"/>
      <c r="J29" s="63"/>
      <c r="K29" s="63"/>
      <c r="L29" s="63"/>
    </row>
    <row r="30" spans="1:12" ht="7.05" customHeight="1" x14ac:dyDescent="0.3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</row>
    <row r="31" spans="1:12" ht="28.05" customHeight="1" x14ac:dyDescent="0.3">
      <c r="A31" s="35" t="s">
        <v>159</v>
      </c>
    </row>
  </sheetData>
  <sheetProtection algorithmName="SHA-512" hashValue="MC8g1X6QMTNYZcciPNTcuAexKYHRAUPbyAw588DSSBg8B3ctEx73omjFyJwGknrN7+/8G+wiY5pbdIwPMMqD3Q==" saltValue="0gJBoUpVh07/60uQfBG1oA==" spinCount="100000" sheet="1" objects="1" scenarios="1"/>
  <pageMargins left="0.5" right="0.5" top="0.75" bottom="0.75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45A32"/>
  </sheetPr>
  <dimension ref="A1:L45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6" customWidth="1"/>
    <col min="2" max="3" width="20" customWidth="1"/>
    <col min="4" max="4" width="16" customWidth="1"/>
  </cols>
  <sheetData>
    <row r="1" spans="1:12" ht="31.95" customHeight="1" x14ac:dyDescent="0.3">
      <c r="A1" s="15" t="s">
        <v>160</v>
      </c>
    </row>
    <row r="2" spans="1:12" ht="18" customHeight="1" x14ac:dyDescent="0.3">
      <c r="A2" s="16" t="s">
        <v>1</v>
      </c>
    </row>
    <row r="3" spans="1:12" ht="13.95" customHeight="1" x14ac:dyDescent="0.3">
      <c r="A3" s="17" t="s">
        <v>161</v>
      </c>
    </row>
    <row r="5" spans="1:12" ht="15" customHeight="1" x14ac:dyDescent="0.3">
      <c r="A5" s="19" t="s">
        <v>162</v>
      </c>
      <c r="B5" s="19"/>
      <c r="C5" s="19"/>
    </row>
    <row r="6" spans="1:12" ht="19.95" customHeight="1" x14ac:dyDescent="0.3">
      <c r="A6" s="64" t="s">
        <v>130</v>
      </c>
      <c r="B6" s="64" t="s">
        <v>131</v>
      </c>
      <c r="C6" s="64" t="s">
        <v>163</v>
      </c>
    </row>
    <row r="7" spans="1:12" ht="16.95" customHeight="1" x14ac:dyDescent="0.3">
      <c r="A7" s="24" t="s">
        <v>164</v>
      </c>
      <c r="B7" s="33">
        <f>'Income Statement'!P52</f>
        <v>4295.0147694281386</v>
      </c>
      <c r="C7" s="65">
        <f>'Income Statement'!P52/'Income Statement'!P58</f>
        <v>0.46320288771845353</v>
      </c>
      <c r="D7" s="8"/>
    </row>
    <row r="8" spans="1:12" ht="16.95" customHeight="1" x14ac:dyDescent="0.3">
      <c r="A8" s="20" t="s">
        <v>165</v>
      </c>
      <c r="B8" s="36">
        <f>'Income Statement'!P56</f>
        <v>4977.411813626235</v>
      </c>
      <c r="C8" s="66">
        <f>'Income Statement'!P56/'Income Statement'!P58</f>
        <v>0.53679711228154647</v>
      </c>
      <c r="D8" s="6"/>
    </row>
    <row r="9" spans="1:12" ht="18" customHeight="1" x14ac:dyDescent="0.3">
      <c r="A9" s="60" t="s">
        <v>3</v>
      </c>
      <c r="B9" s="67">
        <f>'Income Statement'!P58</f>
        <v>9272.4265830543736</v>
      </c>
      <c r="C9" s="68" t="s">
        <v>166</v>
      </c>
      <c r="D9" s="63"/>
      <c r="E9" s="63"/>
      <c r="F9" s="63"/>
      <c r="G9" s="63"/>
      <c r="H9" s="63"/>
      <c r="I9" s="63"/>
      <c r="J9" s="63"/>
      <c r="K9" s="63"/>
      <c r="L9" s="63"/>
    </row>
    <row r="10" spans="1:12" ht="7.05" customHeigh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1" spans="1:12" ht="15" customHeight="1" x14ac:dyDescent="0.3">
      <c r="A11" s="19" t="s">
        <v>167</v>
      </c>
      <c r="B11" s="19"/>
      <c r="C11" s="19"/>
    </row>
    <row r="12" spans="1:12" ht="19.95" customHeight="1" x14ac:dyDescent="0.3">
      <c r="A12" s="64" t="s">
        <v>130</v>
      </c>
      <c r="B12" s="64" t="s">
        <v>168</v>
      </c>
      <c r="C12" s="64" t="s">
        <v>169</v>
      </c>
    </row>
    <row r="13" spans="1:12" ht="16.95" customHeight="1" x14ac:dyDescent="0.3">
      <c r="A13" s="24" t="s">
        <v>3</v>
      </c>
      <c r="B13" s="33">
        <f>B9</f>
        <v>9272.4265830543736</v>
      </c>
      <c r="C13" s="56" t="s">
        <v>170</v>
      </c>
      <c r="D13" s="8"/>
    </row>
    <row r="14" spans="1:12" ht="16.95" customHeight="1" x14ac:dyDescent="0.3">
      <c r="A14" s="20" t="s">
        <v>171</v>
      </c>
      <c r="B14" s="36">
        <f>Assumptions!B44</f>
        <v>280</v>
      </c>
      <c r="C14" s="57" t="s">
        <v>172</v>
      </c>
      <c r="D14" s="6"/>
    </row>
    <row r="15" spans="1:12" ht="16.95" customHeight="1" x14ac:dyDescent="0.3">
      <c r="A15" s="24" t="s">
        <v>173</v>
      </c>
      <c r="B15" s="33">
        <f>-Assumptions!B45</f>
        <v>-1580</v>
      </c>
      <c r="C15" s="56" t="s">
        <v>172</v>
      </c>
      <c r="D15" s="8"/>
    </row>
    <row r="16" spans="1:12" ht="16.95" customHeight="1" x14ac:dyDescent="0.3">
      <c r="A16" s="20" t="s">
        <v>174</v>
      </c>
      <c r="B16" s="36">
        <f>-B9*0.02</f>
        <v>-185.44853166108749</v>
      </c>
      <c r="C16" s="57" t="s">
        <v>175</v>
      </c>
      <c r="D16" s="6"/>
    </row>
    <row r="17" spans="1:12" ht="18" customHeight="1" x14ac:dyDescent="0.3">
      <c r="A17" s="60" t="s">
        <v>176</v>
      </c>
      <c r="B17" s="67">
        <f>SUM(B13:B16)</f>
        <v>7786.9780513932865</v>
      </c>
      <c r="C17" s="63"/>
      <c r="D17" s="63"/>
      <c r="E17" s="63"/>
      <c r="F17" s="63"/>
      <c r="G17" s="63"/>
      <c r="H17" s="63"/>
      <c r="I17" s="63"/>
      <c r="J17" s="63"/>
      <c r="K17" s="63"/>
      <c r="L17" s="63"/>
    </row>
    <row r="18" spans="1:12" ht="7.05" customHeight="1" x14ac:dyDescent="0.3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2" ht="15" customHeight="1" x14ac:dyDescent="0.3">
      <c r="A19" s="19" t="s">
        <v>177</v>
      </c>
      <c r="B19" s="19"/>
      <c r="C19" s="19"/>
    </row>
    <row r="20" spans="1:12" ht="19.95" customHeight="1" x14ac:dyDescent="0.3">
      <c r="A20" s="64" t="s">
        <v>178</v>
      </c>
      <c r="B20" s="64" t="s">
        <v>131</v>
      </c>
      <c r="C20" s="64" t="s">
        <v>179</v>
      </c>
    </row>
    <row r="21" spans="1:12" ht="16.95" customHeight="1" x14ac:dyDescent="0.3">
      <c r="A21" s="20" t="s">
        <v>180</v>
      </c>
      <c r="B21" s="69">
        <f>Assumptions!B50/('Income Statement'!E19)</f>
        <v>9.7340124504810408</v>
      </c>
      <c r="C21" s="57" t="s">
        <v>181</v>
      </c>
      <c r="D21" s="6"/>
    </row>
    <row r="22" spans="1:12" ht="16.95" customHeight="1" x14ac:dyDescent="0.3">
      <c r="A22" s="24" t="s">
        <v>182</v>
      </c>
      <c r="B22" s="70">
        <f>Assumptions!B50/('Income Statement'!E9)</f>
        <v>1.8494623655913978</v>
      </c>
      <c r="C22" s="56" t="s">
        <v>183</v>
      </c>
      <c r="D22" s="8"/>
    </row>
    <row r="23" spans="1:12" ht="16.95" customHeight="1" x14ac:dyDescent="0.3">
      <c r="A23" s="20" t="s">
        <v>184</v>
      </c>
      <c r="B23" s="69">
        <f>Assumptions!B50/('Income Statement'!E25)</f>
        <v>11.932015261879986</v>
      </c>
      <c r="C23" s="57" t="s">
        <v>185</v>
      </c>
      <c r="D23" s="6"/>
    </row>
    <row r="24" spans="1:12" ht="7.05" customHeight="1" x14ac:dyDescent="0.3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5" customHeight="1" x14ac:dyDescent="0.3">
      <c r="A25" s="19" t="s">
        <v>186</v>
      </c>
      <c r="B25" s="19"/>
      <c r="C25" s="19"/>
    </row>
    <row r="26" spans="1:12" ht="19.95" customHeight="1" x14ac:dyDescent="0.3">
      <c r="A26" s="64" t="s">
        <v>187</v>
      </c>
      <c r="B26" s="64" t="s">
        <v>131</v>
      </c>
      <c r="C26" s="64" t="s">
        <v>169</v>
      </c>
    </row>
    <row r="27" spans="1:12" ht="16.95" customHeight="1" x14ac:dyDescent="0.3">
      <c r="A27" s="24" t="s">
        <v>87</v>
      </c>
      <c r="B27" s="33">
        <f>Assumptions!B50</f>
        <v>8600</v>
      </c>
      <c r="C27" s="56" t="s">
        <v>188</v>
      </c>
      <c r="D27" s="8"/>
    </row>
    <row r="28" spans="1:12" ht="16.95" customHeight="1" x14ac:dyDescent="0.3">
      <c r="A28" s="20" t="s">
        <v>189</v>
      </c>
      <c r="B28" s="36">
        <f>Assumptions!B46</f>
        <v>1300</v>
      </c>
      <c r="C28" s="57" t="s">
        <v>190</v>
      </c>
      <c r="D28" s="6"/>
    </row>
    <row r="29" spans="1:12" ht="16.95" customHeight="1" x14ac:dyDescent="0.3">
      <c r="A29" s="24" t="s">
        <v>191</v>
      </c>
      <c r="B29" s="33">
        <f>Assumptions!B50-Assumptions!B46</f>
        <v>7300</v>
      </c>
      <c r="C29" s="56" t="s">
        <v>192</v>
      </c>
      <c r="D29" s="8"/>
    </row>
    <row r="30" spans="1:12" ht="16.95" customHeight="1" x14ac:dyDescent="0.3">
      <c r="A30" s="20" t="s">
        <v>193</v>
      </c>
      <c r="B30" s="36">
        <f>'Income Statement'!J19</f>
        <v>1176.5291035680002</v>
      </c>
      <c r="C30" s="57" t="s">
        <v>194</v>
      </c>
      <c r="D30" s="6"/>
    </row>
    <row r="31" spans="1:12" ht="16.95" customHeight="1" x14ac:dyDescent="0.3">
      <c r="A31" s="24" t="s">
        <v>195</v>
      </c>
      <c r="B31" s="33">
        <f>Assumptions!B51*'Income Statement'!J19</f>
        <v>10000.497380328001</v>
      </c>
      <c r="C31" s="56" t="s">
        <v>196</v>
      </c>
      <c r="D31" s="8"/>
    </row>
    <row r="32" spans="1:12" ht="16.95" customHeight="1" x14ac:dyDescent="0.3">
      <c r="A32" s="20" t="s">
        <v>197</v>
      </c>
      <c r="B32" s="36" t="s">
        <v>198</v>
      </c>
      <c r="C32" s="57" t="s">
        <v>199</v>
      </c>
      <c r="D32" s="6"/>
    </row>
    <row r="33" spans="1:12" ht="16.95" customHeight="1" x14ac:dyDescent="0.3">
      <c r="A33" s="24" t="s">
        <v>200</v>
      </c>
      <c r="B33" s="33">
        <f>Assumptions!B51*'Income Statement'!J19-580</f>
        <v>9420.4973803280009</v>
      </c>
      <c r="C33" s="56" t="s">
        <v>201</v>
      </c>
      <c r="D33" s="8"/>
    </row>
    <row r="34" spans="1:12" ht="16.95" customHeight="1" x14ac:dyDescent="0.3">
      <c r="A34" s="20" t="s">
        <v>202</v>
      </c>
      <c r="B34" s="6"/>
      <c r="C34" s="57" t="s">
        <v>203</v>
      </c>
      <c r="D34" s="6"/>
    </row>
    <row r="35" spans="1:12" ht="16.95" customHeight="1" x14ac:dyDescent="0.3">
      <c r="A35" s="24" t="s">
        <v>204</v>
      </c>
      <c r="B35" s="70">
        <f>B33/B29</f>
        <v>1.2904790931956165</v>
      </c>
      <c r="C35" s="56" t="s">
        <v>205</v>
      </c>
      <c r="D35" s="8"/>
    </row>
    <row r="36" spans="1:12" ht="15" customHeight="1" x14ac:dyDescent="0.3">
      <c r="A36" s="71" t="s">
        <v>206</v>
      </c>
      <c r="B36" s="55"/>
      <c r="C36" s="55"/>
      <c r="D36" s="55"/>
    </row>
    <row r="37" spans="1:12" ht="16.05" customHeight="1" x14ac:dyDescent="0.3">
      <c r="A37" s="72" t="s">
        <v>207</v>
      </c>
      <c r="B37" s="33">
        <f>-B29</f>
        <v>-7300</v>
      </c>
      <c r="C37" s="73" t="s">
        <v>208</v>
      </c>
      <c r="D37" s="8"/>
    </row>
    <row r="38" spans="1:12" ht="16.05" customHeight="1" x14ac:dyDescent="0.3">
      <c r="A38" s="74" t="s">
        <v>209</v>
      </c>
      <c r="B38" s="36">
        <f>MAX('Income Statement'!F46-119-200,0)</f>
        <v>225.04999999999995</v>
      </c>
      <c r="C38" s="75" t="s">
        <v>210</v>
      </c>
      <c r="D38" s="6"/>
    </row>
    <row r="39" spans="1:12" ht="16.05" customHeight="1" x14ac:dyDescent="0.3">
      <c r="A39" s="72" t="s">
        <v>211</v>
      </c>
      <c r="B39" s="33">
        <f>MAX('Income Statement'!G46-104-200,0)</f>
        <v>284.34124999999995</v>
      </c>
      <c r="C39" s="73" t="s">
        <v>212</v>
      </c>
      <c r="D39" s="8"/>
    </row>
    <row r="40" spans="1:12" ht="16.05" customHeight="1" x14ac:dyDescent="0.3">
      <c r="A40" s="74" t="s">
        <v>213</v>
      </c>
      <c r="B40" s="36">
        <f>MAX('Income Statement'!H46-89-200,0)</f>
        <v>342.6783200000001</v>
      </c>
      <c r="C40" s="75" t="s">
        <v>214</v>
      </c>
      <c r="D40" s="6"/>
    </row>
    <row r="41" spans="1:12" ht="16.05" customHeight="1" x14ac:dyDescent="0.3">
      <c r="A41" s="72" t="s">
        <v>215</v>
      </c>
      <c r="B41" s="33">
        <f>MAX('Income Statement'!I46-74-200,0)</f>
        <v>400.8345422000001</v>
      </c>
      <c r="C41" s="73" t="s">
        <v>216</v>
      </c>
      <c r="D41" s="8"/>
    </row>
    <row r="42" spans="1:12" ht="16.05" customHeight="1" x14ac:dyDescent="0.3">
      <c r="A42" s="74" t="s">
        <v>217</v>
      </c>
      <c r="B42" s="36">
        <f>MAX('Income Statement'!J46-59-200,0)+B33</f>
        <v>9856.5769587940013</v>
      </c>
      <c r="C42" s="75" t="s">
        <v>218</v>
      </c>
      <c r="D42" s="6"/>
    </row>
    <row r="43" spans="1:12" ht="19.95" customHeight="1" x14ac:dyDescent="0.3">
      <c r="A43" s="76" t="s">
        <v>219</v>
      </c>
      <c r="B43" s="61">
        <f>IRR(B37:B42)</f>
        <v>9.3187847446118077E-2</v>
      </c>
      <c r="C43" s="77" t="s">
        <v>220</v>
      </c>
      <c r="D43" s="63"/>
      <c r="E43" s="63"/>
      <c r="F43" s="63"/>
      <c r="G43" s="63"/>
      <c r="H43" s="63"/>
      <c r="I43" s="63"/>
      <c r="J43" s="63"/>
      <c r="K43" s="63"/>
      <c r="L43" s="63"/>
    </row>
    <row r="44" spans="1:12" ht="7.05" customHeight="1" x14ac:dyDescent="0.3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2" ht="28.05" customHeight="1" x14ac:dyDescent="0.3">
      <c r="A45" s="35" t="s">
        <v>221</v>
      </c>
    </row>
  </sheetData>
  <sheetProtection algorithmName="SHA-512" hashValue="x7fdjcIMuzESDLWLzymClwX44Jj4g+2lzuCbwY1DbesNJXqQxf25ILe3ltBONyzzrVF19CRW3MWFHoYFCSVTOg==" saltValue="/wlrdBGj2AAi3Kl2nNpJaw==" spinCount="100000" sheet="1" objects="1" scenarios="1"/>
  <pageMargins left="0.5" right="0.5" top="0.75" bottom="0.75" header="0.5" footer="0.5"/>
  <pageSetup paperSize="9" orientation="landscape"/>
  <ignoredErrors>
    <ignoredError sqref="B32 C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B0000"/>
  </sheetPr>
  <dimension ref="A1:L27"/>
  <sheetViews>
    <sheetView showGridLines="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36" customWidth="1"/>
    <col min="2" max="2" width="16" customWidth="1"/>
    <col min="3" max="7" width="14" customWidth="1"/>
  </cols>
  <sheetData>
    <row r="1" spans="1:12" ht="31.95" customHeight="1" x14ac:dyDescent="0.3">
      <c r="A1" s="15" t="s">
        <v>222</v>
      </c>
    </row>
    <row r="2" spans="1:12" ht="18" customHeight="1" x14ac:dyDescent="0.3">
      <c r="A2" s="16" t="s">
        <v>1</v>
      </c>
    </row>
    <row r="3" spans="1:12" ht="13.95" customHeight="1" x14ac:dyDescent="0.3">
      <c r="A3" s="17" t="s">
        <v>223</v>
      </c>
    </row>
    <row r="5" spans="1:12" ht="15" customHeight="1" x14ac:dyDescent="0.3">
      <c r="A5" s="19" t="s">
        <v>224</v>
      </c>
      <c r="B5" s="19"/>
      <c r="C5" s="19"/>
      <c r="D5" s="19"/>
      <c r="E5" s="19"/>
      <c r="F5" s="19"/>
      <c r="G5" s="19"/>
    </row>
    <row r="6" spans="1:12" ht="13.95" customHeight="1" x14ac:dyDescent="0.3">
      <c r="A6" s="78" t="s">
        <v>225</v>
      </c>
      <c r="B6" s="10" t="s">
        <v>226</v>
      </c>
      <c r="C6" s="10" t="s">
        <v>227</v>
      </c>
      <c r="D6" s="10" t="s">
        <v>228</v>
      </c>
      <c r="E6" s="10" t="s">
        <v>229</v>
      </c>
      <c r="F6" s="10" t="s">
        <v>230</v>
      </c>
    </row>
    <row r="7" spans="1:12" ht="16.05" customHeight="1" x14ac:dyDescent="0.3">
      <c r="A7" s="79" t="s">
        <v>231</v>
      </c>
      <c r="B7" s="80">
        <v>11220</v>
      </c>
      <c r="C7" s="80">
        <v>11740</v>
      </c>
      <c r="D7" s="81">
        <v>12260</v>
      </c>
      <c r="E7" s="80">
        <v>12780</v>
      </c>
      <c r="F7" s="80">
        <v>13300</v>
      </c>
    </row>
    <row r="8" spans="1:12" ht="16.05" customHeight="1" x14ac:dyDescent="0.3">
      <c r="A8" s="82" t="s">
        <v>232</v>
      </c>
      <c r="B8" s="83">
        <v>9820</v>
      </c>
      <c r="C8" s="83">
        <v>10280</v>
      </c>
      <c r="D8" s="81">
        <v>10730</v>
      </c>
      <c r="E8" s="83">
        <v>11190</v>
      </c>
      <c r="F8" s="83">
        <v>11640</v>
      </c>
    </row>
    <row r="9" spans="1:12" ht="16.05" customHeight="1" x14ac:dyDescent="0.3">
      <c r="A9" s="79" t="s">
        <v>233</v>
      </c>
      <c r="B9" s="80">
        <v>8660</v>
      </c>
      <c r="C9" s="80">
        <v>9060</v>
      </c>
      <c r="D9" s="81">
        <v>9460</v>
      </c>
      <c r="E9" s="80">
        <v>9870</v>
      </c>
      <c r="F9" s="80">
        <v>10270</v>
      </c>
    </row>
    <row r="10" spans="1:12" ht="16.05" customHeight="1" x14ac:dyDescent="0.3">
      <c r="A10" s="84" t="s">
        <v>234</v>
      </c>
      <c r="B10" s="81">
        <v>7870</v>
      </c>
      <c r="C10" s="81">
        <v>8230</v>
      </c>
      <c r="D10" s="85">
        <v>8600</v>
      </c>
      <c r="E10" s="81">
        <v>8970</v>
      </c>
      <c r="F10" s="81">
        <v>9330</v>
      </c>
    </row>
    <row r="11" spans="1:12" ht="16.05" customHeight="1" x14ac:dyDescent="0.3">
      <c r="A11" s="79" t="s">
        <v>235</v>
      </c>
      <c r="B11" s="80">
        <v>6870</v>
      </c>
      <c r="C11" s="80">
        <v>7190</v>
      </c>
      <c r="D11" s="81">
        <v>7510</v>
      </c>
      <c r="E11" s="80">
        <v>7820</v>
      </c>
      <c r="F11" s="80">
        <v>8140</v>
      </c>
    </row>
    <row r="12" spans="1:12" ht="16.05" customHeight="1" x14ac:dyDescent="0.3">
      <c r="A12" s="82" t="s">
        <v>236</v>
      </c>
      <c r="B12" s="83">
        <v>6170</v>
      </c>
      <c r="C12" s="83">
        <v>6460</v>
      </c>
      <c r="D12" s="81">
        <v>6740</v>
      </c>
      <c r="E12" s="83">
        <v>7030</v>
      </c>
      <c r="F12" s="83">
        <v>7310</v>
      </c>
    </row>
    <row r="13" spans="1:12" ht="16.05" customHeight="1" x14ac:dyDescent="0.3">
      <c r="A13" s="79" t="s">
        <v>237</v>
      </c>
      <c r="B13" s="80">
        <v>5570</v>
      </c>
      <c r="C13" s="80">
        <v>5830</v>
      </c>
      <c r="D13" s="81">
        <v>6090</v>
      </c>
      <c r="E13" s="80">
        <v>6340</v>
      </c>
      <c r="F13" s="80">
        <v>6600</v>
      </c>
    </row>
    <row r="14" spans="1:12" ht="13.95" customHeight="1" x14ac:dyDescent="0.3">
      <c r="A14" s="86" t="s">
        <v>238</v>
      </c>
    </row>
    <row r="15" spans="1:12" ht="7.05" customHeight="1" x14ac:dyDescent="0.3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ht="15" customHeight="1" x14ac:dyDescent="0.3">
      <c r="A16" s="19" t="s">
        <v>239</v>
      </c>
      <c r="B16" s="19"/>
      <c r="C16" s="19"/>
      <c r="D16" s="19"/>
      <c r="E16" s="19"/>
      <c r="F16" s="19"/>
      <c r="G16" s="19"/>
    </row>
    <row r="17" spans="1:12" ht="13.95" customHeight="1" x14ac:dyDescent="0.3">
      <c r="A17" s="78" t="s">
        <v>225</v>
      </c>
      <c r="B17" s="10" t="s">
        <v>240</v>
      </c>
      <c r="C17" s="10" t="s">
        <v>241</v>
      </c>
      <c r="D17" s="10" t="s">
        <v>242</v>
      </c>
      <c r="E17" s="10" t="s">
        <v>243</v>
      </c>
      <c r="F17" s="10" t="s">
        <v>244</v>
      </c>
      <c r="G17" s="10" t="s">
        <v>245</v>
      </c>
    </row>
    <row r="18" spans="1:12" ht="16.05" customHeight="1" x14ac:dyDescent="0.3">
      <c r="A18" s="79" t="s">
        <v>231</v>
      </c>
      <c r="B18" s="80">
        <v>9810</v>
      </c>
      <c r="C18" s="80">
        <v>10550</v>
      </c>
      <c r="D18" s="80">
        <v>11280</v>
      </c>
      <c r="E18" s="81">
        <v>12260</v>
      </c>
      <c r="F18" s="80">
        <v>13000</v>
      </c>
      <c r="G18" s="80">
        <v>13730</v>
      </c>
    </row>
    <row r="19" spans="1:12" ht="16.05" customHeight="1" x14ac:dyDescent="0.3">
      <c r="A19" s="82" t="s">
        <v>232</v>
      </c>
      <c r="B19" s="83">
        <v>8590</v>
      </c>
      <c r="C19" s="83">
        <v>9230</v>
      </c>
      <c r="D19" s="83">
        <v>9870</v>
      </c>
      <c r="E19" s="81">
        <v>10730</v>
      </c>
      <c r="F19" s="83">
        <v>11380</v>
      </c>
      <c r="G19" s="83">
        <v>12020</v>
      </c>
    </row>
    <row r="20" spans="1:12" ht="16.05" customHeight="1" x14ac:dyDescent="0.3">
      <c r="A20" s="79" t="s">
        <v>233</v>
      </c>
      <c r="B20" s="80">
        <v>7570</v>
      </c>
      <c r="C20" s="80">
        <v>8140</v>
      </c>
      <c r="D20" s="80">
        <v>8710</v>
      </c>
      <c r="E20" s="81">
        <v>9460</v>
      </c>
      <c r="F20" s="80">
        <v>10030</v>
      </c>
      <c r="G20" s="80">
        <v>10600</v>
      </c>
    </row>
    <row r="21" spans="1:12" ht="16.05" customHeight="1" x14ac:dyDescent="0.3">
      <c r="A21" s="84" t="s">
        <v>234</v>
      </c>
      <c r="B21" s="81">
        <v>6880</v>
      </c>
      <c r="C21" s="81">
        <v>7400</v>
      </c>
      <c r="D21" s="81">
        <v>7910</v>
      </c>
      <c r="E21" s="85">
        <v>8600</v>
      </c>
      <c r="F21" s="81">
        <v>9120</v>
      </c>
      <c r="G21" s="81">
        <v>9630</v>
      </c>
    </row>
    <row r="22" spans="1:12" ht="16.05" customHeight="1" x14ac:dyDescent="0.3">
      <c r="A22" s="79" t="s">
        <v>235</v>
      </c>
      <c r="B22" s="80">
        <v>6000</v>
      </c>
      <c r="C22" s="80">
        <v>6450</v>
      </c>
      <c r="D22" s="80">
        <v>6910</v>
      </c>
      <c r="E22" s="81">
        <v>7510</v>
      </c>
      <c r="F22" s="80">
        <v>7960</v>
      </c>
      <c r="G22" s="80">
        <v>8410</v>
      </c>
    </row>
    <row r="23" spans="1:12" ht="16.05" customHeight="1" x14ac:dyDescent="0.3">
      <c r="A23" s="82" t="s">
        <v>236</v>
      </c>
      <c r="B23" s="83">
        <v>5390</v>
      </c>
      <c r="C23" s="83">
        <v>5800</v>
      </c>
      <c r="D23" s="83">
        <v>6200</v>
      </c>
      <c r="E23" s="81">
        <v>6740</v>
      </c>
      <c r="F23" s="83">
        <v>7150</v>
      </c>
      <c r="G23" s="83">
        <v>7550</v>
      </c>
    </row>
    <row r="24" spans="1:12" ht="16.05" customHeight="1" x14ac:dyDescent="0.3">
      <c r="A24" s="79" t="s">
        <v>237</v>
      </c>
      <c r="B24" s="80">
        <v>4870</v>
      </c>
      <c r="C24" s="80">
        <v>5230</v>
      </c>
      <c r="D24" s="80">
        <v>5600</v>
      </c>
      <c r="E24" s="81">
        <v>6090</v>
      </c>
      <c r="F24" s="80">
        <v>6450</v>
      </c>
      <c r="G24" s="80">
        <v>6820</v>
      </c>
    </row>
    <row r="25" spans="1:12" ht="13.95" customHeight="1" x14ac:dyDescent="0.3">
      <c r="A25" s="86" t="s">
        <v>246</v>
      </c>
    </row>
    <row r="26" spans="1:12" ht="7.05" customHeight="1" x14ac:dyDescent="0.3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28.05" customHeight="1" x14ac:dyDescent="0.3">
      <c r="A27" s="35" t="s">
        <v>247</v>
      </c>
    </row>
  </sheetData>
  <sheetProtection algorithmName="SHA-512" hashValue="ft3b5MzMoIkscWjKKqZmucqpVT2HP3zOYX3aiQY5ZzSqY6YTCQ69jWJxD5CyTidQiq4FbKCE+elUZ4xlCqzj+g==" saltValue="S9gESwmJ+Wr+/XOnryteng==" spinCount="100000" sheet="1" objects="1" scenarios="1"/>
  <pageMargins left="0.5" right="0.5" top="0.75" bottom="0.75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</vt:lpstr>
      <vt:lpstr>Assumptions</vt:lpstr>
      <vt:lpstr>Income Statement</vt:lpstr>
      <vt:lpstr>WACC</vt:lpstr>
      <vt:lpstr>Valuation Summary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2026-06-08T05:50:29Z</dcterms:created>
  <dcterms:modified xsi:type="dcterms:W3CDTF">2026-06-08T06:08:17Z</dcterms:modified>
</cp:coreProperties>
</file>