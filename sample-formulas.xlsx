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q9539\Downloads\"/>
    </mc:Choice>
  </mc:AlternateContent>
  <xr:revisionPtr revIDLastSave="0" documentId="13_ncr:1_{436EA148-07DA-47AB-97C0-301546A36E61}" xr6:coauthVersionLast="47" xr6:coauthVersionMax="47" xr10:uidLastSave="{00000000-0000-0000-0000-000000000000}"/>
  <bookViews>
    <workbookView xWindow="-108" yWindow="-108" windowWidth="23256" windowHeight="12456" tabRatio="500" xr2:uid="{00000000-000D-0000-FFFF-FFFF00000000}"/>
  </bookViews>
  <sheets>
    <sheet name="Cover" sheetId="1" r:id="rId1"/>
    <sheet name="Project Summary" sheetId="2" r:id="rId2"/>
    <sheet name="Before vs After" sheetId="3" r:id="rId3"/>
    <sheet name="Formula Showcase" sheetId="4" r:id="rId4"/>
    <sheet name="Dashboard" sheetId="5" r:id="rId5"/>
    <sheet name="YTD Summary" sheetId="6" r:id="rId6"/>
    <sheet name="Employee Master" sheetId="7" r:id="rId7"/>
    <sheet name="Payroll Register" sheetId="8" r:id="rId8"/>
    <sheet name="Prior YTD (Jan-May)" sheetId="9" r:id="rId9"/>
    <sheet name="Tax Tables" sheetId="10" r:id="rId10"/>
    <sheet name="Deductions Schedule" sheetId="11" r:id="rId11"/>
    <sheet name="Dept Summary" sheetId="12" r:id="rId12"/>
    <sheet name="Formula Library"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9" i="12" l="1"/>
  <c r="B15" i="5" s="1"/>
  <c r="B5" i="12"/>
  <c r="I10" i="11"/>
  <c r="H10" i="11"/>
  <c r="I9" i="11"/>
  <c r="H9" i="11"/>
  <c r="I8" i="11"/>
  <c r="H8" i="11"/>
  <c r="I7" i="11"/>
  <c r="H7" i="11"/>
  <c r="I6" i="11"/>
  <c r="H6" i="11"/>
  <c r="I5" i="11"/>
  <c r="H5" i="11"/>
  <c r="I4" i="11"/>
  <c r="H4" i="11"/>
  <c r="P24" i="9"/>
  <c r="O24" i="9"/>
  <c r="N24" i="9"/>
  <c r="M24" i="9"/>
  <c r="L24" i="9"/>
  <c r="K24" i="9"/>
  <c r="J24" i="9"/>
  <c r="I24" i="9"/>
  <c r="H24" i="9"/>
  <c r="G24" i="9"/>
  <c r="F24" i="9"/>
  <c r="E24" i="9"/>
  <c r="L24" i="8"/>
  <c r="H24" i="8"/>
  <c r="G24" i="8"/>
  <c r="F24" i="8"/>
  <c r="W23" i="8"/>
  <c r="U23" i="8"/>
  <c r="M25" i="6" s="1"/>
  <c r="T23" i="8"/>
  <c r="S23" i="8"/>
  <c r="E23" i="8"/>
  <c r="K23" i="8" s="1"/>
  <c r="D23" i="8"/>
  <c r="C23" i="8"/>
  <c r="B23" i="8"/>
  <c r="W22" i="8"/>
  <c r="U22" i="8"/>
  <c r="T22" i="8"/>
  <c r="S22" i="8"/>
  <c r="K24" i="6" s="1"/>
  <c r="K22" i="8"/>
  <c r="I22" i="8"/>
  <c r="E22" i="8"/>
  <c r="J22" i="8" s="1"/>
  <c r="M22" i="8" s="1"/>
  <c r="D22" i="8"/>
  <c r="C22" i="8"/>
  <c r="B22" i="8"/>
  <c r="W21" i="8"/>
  <c r="U21" i="8"/>
  <c r="M23" i="6" s="1"/>
  <c r="T21" i="8"/>
  <c r="S21" i="8"/>
  <c r="E21" i="8"/>
  <c r="K21" i="8" s="1"/>
  <c r="D21" i="8"/>
  <c r="C21" i="8"/>
  <c r="B21" i="8"/>
  <c r="W20" i="8"/>
  <c r="U20" i="8"/>
  <c r="M22" i="6" s="1"/>
  <c r="T20" i="8"/>
  <c r="S20" i="8"/>
  <c r="E20" i="8"/>
  <c r="K20" i="8" s="1"/>
  <c r="D20" i="8"/>
  <c r="C20" i="8"/>
  <c r="B20" i="8"/>
  <c r="W19" i="8"/>
  <c r="U19" i="8"/>
  <c r="T19" i="8"/>
  <c r="S19" i="8"/>
  <c r="Q19" i="8"/>
  <c r="M19" i="8"/>
  <c r="V19" i="8" s="1"/>
  <c r="N21" i="6" s="1"/>
  <c r="K19" i="8"/>
  <c r="J19" i="8"/>
  <c r="I19" i="8"/>
  <c r="E19" i="8"/>
  <c r="D19" i="8"/>
  <c r="C19" i="8"/>
  <c r="B19" i="8"/>
  <c r="W18" i="8"/>
  <c r="U18" i="8"/>
  <c r="M20" i="6" s="1"/>
  <c r="T18" i="8"/>
  <c r="S18" i="8"/>
  <c r="E18" i="8"/>
  <c r="K18" i="8" s="1"/>
  <c r="D18" i="8"/>
  <c r="C18" i="8"/>
  <c r="B18" i="8"/>
  <c r="W17" i="8"/>
  <c r="U17" i="8"/>
  <c r="M19" i="6" s="1"/>
  <c r="T17" i="8"/>
  <c r="S17" i="8"/>
  <c r="E17" i="8"/>
  <c r="K17" i="8" s="1"/>
  <c r="D17" i="8"/>
  <c r="C17" i="8"/>
  <c r="B17" i="8"/>
  <c r="W16" i="8"/>
  <c r="U16" i="8"/>
  <c r="T16" i="8"/>
  <c r="S16" i="8"/>
  <c r="Q16" i="8"/>
  <c r="I18" i="6" s="1"/>
  <c r="M16" i="8"/>
  <c r="V16" i="8" s="1"/>
  <c r="N18" i="6" s="1"/>
  <c r="K16" i="8"/>
  <c r="J16" i="8"/>
  <c r="I16" i="8"/>
  <c r="E16" i="8"/>
  <c r="D16" i="8"/>
  <c r="C16" i="8"/>
  <c r="B16" i="8"/>
  <c r="W15" i="8"/>
  <c r="U15" i="8"/>
  <c r="M17" i="6" s="1"/>
  <c r="T15" i="8"/>
  <c r="S15" i="8"/>
  <c r="E15" i="8"/>
  <c r="K15" i="8" s="1"/>
  <c r="D15" i="8"/>
  <c r="C15" i="8"/>
  <c r="B15" i="8"/>
  <c r="W14" i="8"/>
  <c r="U14" i="8"/>
  <c r="M16" i="6" s="1"/>
  <c r="T14" i="8"/>
  <c r="S14" i="8"/>
  <c r="E14" i="8"/>
  <c r="K14" i="8" s="1"/>
  <c r="D14" i="8"/>
  <c r="C14" i="8"/>
  <c r="B14" i="8"/>
  <c r="W13" i="8"/>
  <c r="U13" i="8"/>
  <c r="T13" i="8"/>
  <c r="S13" i="8"/>
  <c r="Q13" i="8"/>
  <c r="M13" i="8"/>
  <c r="V13" i="8" s="1"/>
  <c r="N15" i="6" s="1"/>
  <c r="K13" i="8"/>
  <c r="J13" i="8"/>
  <c r="I13" i="8"/>
  <c r="E13" i="8"/>
  <c r="D13" i="8"/>
  <c r="C13" i="8"/>
  <c r="B13" i="8"/>
  <c r="W12" i="8"/>
  <c r="U12" i="8"/>
  <c r="M14" i="6" s="1"/>
  <c r="T12" i="8"/>
  <c r="S12" i="8"/>
  <c r="E12" i="8"/>
  <c r="K12" i="8" s="1"/>
  <c r="D12" i="8"/>
  <c r="C12" i="8"/>
  <c r="B12" i="8"/>
  <c r="W11" i="8"/>
  <c r="U11" i="8"/>
  <c r="M13" i="6" s="1"/>
  <c r="T11" i="8"/>
  <c r="S11" i="8"/>
  <c r="E11" i="8"/>
  <c r="K11" i="8" s="1"/>
  <c r="D11" i="8"/>
  <c r="C11" i="8"/>
  <c r="B11" i="8"/>
  <c r="W10" i="8"/>
  <c r="U10" i="8"/>
  <c r="T10" i="8"/>
  <c r="S10" i="8"/>
  <c r="Q10" i="8"/>
  <c r="I12" i="6" s="1"/>
  <c r="M10" i="8"/>
  <c r="V10" i="8" s="1"/>
  <c r="N12" i="6" s="1"/>
  <c r="K10" i="8"/>
  <c r="J10" i="8"/>
  <c r="I10" i="8"/>
  <c r="E10" i="8"/>
  <c r="D10" i="8"/>
  <c r="C10" i="8"/>
  <c r="B10" i="8"/>
  <c r="W9" i="8"/>
  <c r="U9" i="8"/>
  <c r="M11" i="6" s="1"/>
  <c r="T9" i="8"/>
  <c r="S9" i="8"/>
  <c r="E9" i="8"/>
  <c r="K9" i="8" s="1"/>
  <c r="D9" i="8"/>
  <c r="C9" i="8"/>
  <c r="B9" i="8"/>
  <c r="W8" i="8"/>
  <c r="U8" i="8"/>
  <c r="M10" i="6" s="1"/>
  <c r="T8" i="8"/>
  <c r="S8" i="8"/>
  <c r="E8" i="8"/>
  <c r="K8" i="8" s="1"/>
  <c r="D8" i="8"/>
  <c r="C8" i="8"/>
  <c r="B8" i="8"/>
  <c r="W7" i="8"/>
  <c r="U7" i="8"/>
  <c r="T7" i="8"/>
  <c r="S7" i="8"/>
  <c r="Q7" i="8"/>
  <c r="M7" i="8"/>
  <c r="V7" i="8" s="1"/>
  <c r="N9" i="6" s="1"/>
  <c r="K7" i="8"/>
  <c r="J7" i="8"/>
  <c r="I7" i="8"/>
  <c r="E7" i="8"/>
  <c r="D7" i="8"/>
  <c r="C7" i="8"/>
  <c r="B7" i="8"/>
  <c r="W6" i="8"/>
  <c r="U6" i="8"/>
  <c r="M8" i="6" s="1"/>
  <c r="T6" i="8"/>
  <c r="T24" i="8" s="1"/>
  <c r="S6" i="8"/>
  <c r="E6" i="8"/>
  <c r="K6" i="8" s="1"/>
  <c r="D6" i="8"/>
  <c r="C6" i="8"/>
  <c r="B6" i="8"/>
  <c r="W5" i="8"/>
  <c r="U5" i="8"/>
  <c r="M7" i="6" s="1"/>
  <c r="T5" i="8"/>
  <c r="S5" i="8"/>
  <c r="E5" i="8"/>
  <c r="K5" i="8" s="1"/>
  <c r="D5" i="8"/>
  <c r="C5" i="8"/>
  <c r="B5" i="8"/>
  <c r="W4" i="8"/>
  <c r="W24" i="8" s="1"/>
  <c r="U4" i="8"/>
  <c r="T4" i="8"/>
  <c r="S4" i="8"/>
  <c r="Q4" i="8"/>
  <c r="M4" i="8"/>
  <c r="V4" i="8" s="1"/>
  <c r="K4" i="8"/>
  <c r="J4" i="8"/>
  <c r="I4" i="8"/>
  <c r="E4" i="8"/>
  <c r="D4" i="8"/>
  <c r="C4" i="8"/>
  <c r="B4" i="8"/>
  <c r="V26" i="6"/>
  <c r="V25" i="6"/>
  <c r="L25" i="6"/>
  <c r="K25" i="6"/>
  <c r="D25" i="6"/>
  <c r="C25" i="6"/>
  <c r="B25" i="6"/>
  <c r="V24" i="6"/>
  <c r="M24" i="6"/>
  <c r="L24" i="6"/>
  <c r="D24" i="6"/>
  <c r="C24" i="6"/>
  <c r="B24" i="6"/>
  <c r="V23" i="6"/>
  <c r="L23" i="6"/>
  <c r="K23" i="6"/>
  <c r="D23" i="6"/>
  <c r="C23" i="6"/>
  <c r="B23" i="6"/>
  <c r="V22" i="6"/>
  <c r="L22" i="6"/>
  <c r="K22" i="6"/>
  <c r="D22" i="6"/>
  <c r="C22" i="6"/>
  <c r="B22" i="6"/>
  <c r="V21" i="6"/>
  <c r="M21" i="6"/>
  <c r="L21" i="6"/>
  <c r="K21" i="6"/>
  <c r="I21" i="6"/>
  <c r="D21" i="6"/>
  <c r="C21" i="6"/>
  <c r="B21" i="6"/>
  <c r="V20" i="6"/>
  <c r="L20" i="6"/>
  <c r="K20" i="6"/>
  <c r="D20" i="6"/>
  <c r="C20" i="6"/>
  <c r="B20" i="6"/>
  <c r="V19" i="6"/>
  <c r="L19" i="6"/>
  <c r="K19" i="6"/>
  <c r="D19" i="6"/>
  <c r="C19" i="6"/>
  <c r="B19" i="6"/>
  <c r="V18" i="6"/>
  <c r="M18" i="6"/>
  <c r="L18" i="6"/>
  <c r="K18" i="6"/>
  <c r="O18" i="6" s="1"/>
  <c r="D18" i="6"/>
  <c r="C18" i="6"/>
  <c r="B18" i="6"/>
  <c r="V17" i="6"/>
  <c r="L17" i="6"/>
  <c r="K17" i="6"/>
  <c r="D17" i="6"/>
  <c r="C17" i="6"/>
  <c r="B17" i="6"/>
  <c r="V16" i="6"/>
  <c r="L16" i="6"/>
  <c r="K16" i="6"/>
  <c r="D16" i="6"/>
  <c r="C16" i="6"/>
  <c r="B16" i="6"/>
  <c r="V15" i="6"/>
  <c r="U15" i="6"/>
  <c r="M15" i="6"/>
  <c r="L15" i="6"/>
  <c r="K15" i="6"/>
  <c r="I15" i="6"/>
  <c r="E15" i="6"/>
  <c r="T15" i="6" s="1"/>
  <c r="D15" i="6"/>
  <c r="C15" i="6"/>
  <c r="B15" i="6"/>
  <c r="V14" i="6"/>
  <c r="L14" i="6"/>
  <c r="K14" i="6"/>
  <c r="D14" i="6"/>
  <c r="C14" i="6"/>
  <c r="B14" i="6"/>
  <c r="V13" i="6"/>
  <c r="L13" i="6"/>
  <c r="K13" i="6"/>
  <c r="D13" i="6"/>
  <c r="C13" i="6"/>
  <c r="B13" i="6"/>
  <c r="V12" i="6"/>
  <c r="M12" i="6"/>
  <c r="L12" i="6"/>
  <c r="K12" i="6"/>
  <c r="D12" i="6"/>
  <c r="C12" i="6"/>
  <c r="B12" i="6"/>
  <c r="V11" i="6"/>
  <c r="L11" i="6"/>
  <c r="K11" i="6"/>
  <c r="D11" i="6"/>
  <c r="C11" i="6"/>
  <c r="B11" i="6"/>
  <c r="V10" i="6"/>
  <c r="L10" i="6"/>
  <c r="K10" i="6"/>
  <c r="D10" i="6"/>
  <c r="C10" i="6"/>
  <c r="B10" i="6"/>
  <c r="V9" i="6"/>
  <c r="U9" i="6"/>
  <c r="M9" i="6"/>
  <c r="L9" i="6"/>
  <c r="K9" i="6"/>
  <c r="I9" i="6"/>
  <c r="E9" i="6"/>
  <c r="T9" i="6" s="1"/>
  <c r="D9" i="6"/>
  <c r="C9" i="6"/>
  <c r="B9" i="6"/>
  <c r="V8" i="6"/>
  <c r="L8" i="6"/>
  <c r="K8" i="6"/>
  <c r="D8" i="6"/>
  <c r="C8" i="6"/>
  <c r="B8" i="6"/>
  <c r="V7" i="6"/>
  <c r="L7" i="6"/>
  <c r="K7" i="6"/>
  <c r="D7" i="6"/>
  <c r="C7" i="6"/>
  <c r="B7" i="6"/>
  <c r="V6" i="6"/>
  <c r="M6" i="6"/>
  <c r="L6" i="6"/>
  <c r="L26" i="6" s="1"/>
  <c r="K6" i="6"/>
  <c r="E6" i="6"/>
  <c r="U6" i="6" s="1"/>
  <c r="D6" i="6"/>
  <c r="C6" i="6"/>
  <c r="B6" i="6"/>
  <c r="B11" i="5"/>
  <c r="M5" i="5"/>
  <c r="C35" i="4"/>
  <c r="C34" i="4"/>
  <c r="C33" i="4"/>
  <c r="C32" i="4"/>
  <c r="C25" i="4"/>
  <c r="C23" i="4"/>
  <c r="C22" i="4"/>
  <c r="C21" i="4"/>
  <c r="C20" i="4"/>
  <c r="C19" i="4"/>
  <c r="C18" i="4"/>
  <c r="X4" i="8" l="1"/>
  <c r="T6" i="6"/>
  <c r="V22" i="8"/>
  <c r="N24" i="6" s="1"/>
  <c r="E24" i="6"/>
  <c r="Q22" i="8"/>
  <c r="I24" i="6" s="1"/>
  <c r="P22" i="8"/>
  <c r="H24" i="6" s="1"/>
  <c r="O22" i="8"/>
  <c r="G24" i="6" s="1"/>
  <c r="N22" i="8"/>
  <c r="R9" i="6"/>
  <c r="O9" i="6"/>
  <c r="X7" i="8"/>
  <c r="O21" i="6"/>
  <c r="X19" i="8"/>
  <c r="X13" i="8"/>
  <c r="X16" i="8"/>
  <c r="K26" i="6"/>
  <c r="O12" i="6"/>
  <c r="K24" i="8"/>
  <c r="R15" i="6"/>
  <c r="O15" i="6"/>
  <c r="M26" i="6"/>
  <c r="N6" i="6"/>
  <c r="X10" i="8"/>
  <c r="S24" i="8"/>
  <c r="B7" i="12"/>
  <c r="B13" i="5" s="1"/>
  <c r="X22" i="8"/>
  <c r="U24" i="8"/>
  <c r="C26" i="4"/>
  <c r="N4" i="8"/>
  <c r="I6" i="8"/>
  <c r="N7" i="8"/>
  <c r="I9" i="8"/>
  <c r="M9" i="8" s="1"/>
  <c r="N10" i="8"/>
  <c r="I12" i="8"/>
  <c r="N13" i="8"/>
  <c r="I15" i="8"/>
  <c r="N16" i="8"/>
  <c r="I18" i="8"/>
  <c r="N19" i="8"/>
  <c r="I21" i="8"/>
  <c r="B6" i="12"/>
  <c r="B12" i="5" s="1"/>
  <c r="C27" i="4"/>
  <c r="S15" i="6"/>
  <c r="O4" i="8"/>
  <c r="J6" i="8"/>
  <c r="J24" i="8" s="1"/>
  <c r="O7" i="8"/>
  <c r="G9" i="6" s="1"/>
  <c r="J9" i="8"/>
  <c r="O10" i="8"/>
  <c r="G12" i="6" s="1"/>
  <c r="J12" i="8"/>
  <c r="O13" i="8"/>
  <c r="G15" i="6" s="1"/>
  <c r="J15" i="8"/>
  <c r="O16" i="8"/>
  <c r="G18" i="6" s="1"/>
  <c r="J18" i="8"/>
  <c r="O19" i="8"/>
  <c r="G21" i="6" s="1"/>
  <c r="J21" i="8"/>
  <c r="E18" i="6"/>
  <c r="P4" i="8"/>
  <c r="P7" i="8"/>
  <c r="H9" i="6" s="1"/>
  <c r="P10" i="8"/>
  <c r="H12" i="6" s="1"/>
  <c r="P13" i="8"/>
  <c r="H15" i="6" s="1"/>
  <c r="P16" i="8"/>
  <c r="H18" i="6" s="1"/>
  <c r="P19" i="8"/>
  <c r="H21" i="6" s="1"/>
  <c r="S6" i="6"/>
  <c r="I5" i="8"/>
  <c r="I8" i="8"/>
  <c r="I11" i="8"/>
  <c r="M11" i="8" s="1"/>
  <c r="I14" i="8"/>
  <c r="I17" i="8"/>
  <c r="I20" i="8"/>
  <c r="M20" i="8" s="1"/>
  <c r="I23" i="8"/>
  <c r="M23" i="8" s="1"/>
  <c r="C9" i="12"/>
  <c r="C15" i="5" s="1"/>
  <c r="E21" i="6"/>
  <c r="J5" i="8"/>
  <c r="J8" i="8"/>
  <c r="J11" i="8"/>
  <c r="J14" i="8"/>
  <c r="J17" i="8"/>
  <c r="J20" i="8"/>
  <c r="J23" i="8"/>
  <c r="I6" i="6"/>
  <c r="B4" i="12"/>
  <c r="B8" i="12"/>
  <c r="B14" i="5" s="1"/>
  <c r="S9" i="6"/>
  <c r="E12" i="6"/>
  <c r="T12" i="6" l="1"/>
  <c r="U12" i="6"/>
  <c r="S12" i="6"/>
  <c r="U18" i="6"/>
  <c r="T18" i="6"/>
  <c r="S18" i="6"/>
  <c r="M12" i="8"/>
  <c r="R12" i="6"/>
  <c r="R10" i="8"/>
  <c r="Y10" i="8" s="1"/>
  <c r="F12" i="6"/>
  <c r="J12" i="6" s="1"/>
  <c r="Q12" i="6" s="1"/>
  <c r="R22" i="8"/>
  <c r="F24" i="6"/>
  <c r="J24" i="6" s="1"/>
  <c r="Q24" i="6" s="1"/>
  <c r="Q9" i="8"/>
  <c r="P9" i="8"/>
  <c r="O9" i="8"/>
  <c r="N9" i="8"/>
  <c r="V9" i="8"/>
  <c r="E11" i="6"/>
  <c r="R6" i="6"/>
  <c r="T21" i="6"/>
  <c r="S21" i="6"/>
  <c r="U21" i="6"/>
  <c r="N20" i="8"/>
  <c r="V20" i="8"/>
  <c r="E22" i="6"/>
  <c r="Q20" i="8"/>
  <c r="I22" i="6" s="1"/>
  <c r="P20" i="8"/>
  <c r="H22" i="6" s="1"/>
  <c r="O20" i="8"/>
  <c r="G22" i="6" s="1"/>
  <c r="R4" i="8"/>
  <c r="F6" i="6"/>
  <c r="R18" i="6"/>
  <c r="T24" i="6"/>
  <c r="U24" i="6"/>
  <c r="S24" i="6"/>
  <c r="B10" i="5"/>
  <c r="B16" i="5" s="1"/>
  <c r="B10" i="12"/>
  <c r="H6" i="6"/>
  <c r="N23" i="8"/>
  <c r="E25" i="6"/>
  <c r="V23" i="8"/>
  <c r="Q23" i="8"/>
  <c r="I25" i="6" s="1"/>
  <c r="P23" i="8"/>
  <c r="H25" i="6" s="1"/>
  <c r="O23" i="8"/>
  <c r="G6" i="6"/>
  <c r="M17" i="8"/>
  <c r="M21" i="8"/>
  <c r="O6" i="6"/>
  <c r="R21" i="6"/>
  <c r="R24" i="6"/>
  <c r="M14" i="8"/>
  <c r="F21" i="6"/>
  <c r="J21" i="6" s="1"/>
  <c r="Q21" i="6" s="1"/>
  <c r="R19" i="8"/>
  <c r="Y19" i="8" s="1"/>
  <c r="O24" i="6"/>
  <c r="P24" i="6" s="1"/>
  <c r="R13" i="8"/>
  <c r="Y13" i="8" s="1"/>
  <c r="F15" i="6"/>
  <c r="J15" i="6" s="1"/>
  <c r="D9" i="12"/>
  <c r="F9" i="6"/>
  <c r="J9" i="6" s="1"/>
  <c r="R7" i="8"/>
  <c r="Y7" i="8" s="1"/>
  <c r="M6" i="8"/>
  <c r="M18" i="8"/>
  <c r="C36" i="4"/>
  <c r="M8" i="8"/>
  <c r="F18" i="6"/>
  <c r="J18" i="6" s="1"/>
  <c r="Q18" i="6" s="1"/>
  <c r="R16" i="8"/>
  <c r="Y16" i="8" s="1"/>
  <c r="N11" i="8"/>
  <c r="E13" i="6"/>
  <c r="V11" i="8"/>
  <c r="Q11" i="8"/>
  <c r="I13" i="6" s="1"/>
  <c r="P11" i="8"/>
  <c r="H13" i="6" s="1"/>
  <c r="O11" i="8"/>
  <c r="G13" i="6" s="1"/>
  <c r="M5" i="8"/>
  <c r="I24" i="8"/>
  <c r="M15" i="8"/>
  <c r="F13" i="6" l="1"/>
  <c r="J13" i="6" s="1"/>
  <c r="Q13" i="6" s="1"/>
  <c r="R11" i="8"/>
  <c r="T13" i="6"/>
  <c r="S13" i="6"/>
  <c r="U13" i="6"/>
  <c r="U22" i="6"/>
  <c r="T22" i="6"/>
  <c r="S22" i="6"/>
  <c r="R9" i="8"/>
  <c r="F11" i="6"/>
  <c r="J11" i="6" s="1"/>
  <c r="Q11" i="6" s="1"/>
  <c r="Q12" i="8"/>
  <c r="I14" i="6" s="1"/>
  <c r="P12" i="8"/>
  <c r="H14" i="6" s="1"/>
  <c r="O12" i="8"/>
  <c r="G14" i="6" s="1"/>
  <c r="N12" i="8"/>
  <c r="E14" i="6"/>
  <c r="V12" i="8"/>
  <c r="C6" i="12"/>
  <c r="C12" i="5" s="1"/>
  <c r="Q15" i="6"/>
  <c r="P15" i="6"/>
  <c r="G25" i="6"/>
  <c r="E9" i="12"/>
  <c r="N22" i="6"/>
  <c r="X20" i="8"/>
  <c r="P18" i="6"/>
  <c r="I11" i="6"/>
  <c r="G6" i="12"/>
  <c r="N14" i="8"/>
  <c r="E16" i="6"/>
  <c r="V14" i="8"/>
  <c r="Q14" i="8"/>
  <c r="P14" i="8"/>
  <c r="O14" i="8"/>
  <c r="C7" i="12"/>
  <c r="C13" i="5" s="1"/>
  <c r="T25" i="6"/>
  <c r="S25" i="6"/>
  <c r="U25" i="6"/>
  <c r="P21" i="6"/>
  <c r="J6" i="6"/>
  <c r="Y22" i="8"/>
  <c r="Q15" i="8"/>
  <c r="I17" i="6" s="1"/>
  <c r="E17" i="6"/>
  <c r="P15" i="8"/>
  <c r="H17" i="6" s="1"/>
  <c r="O15" i="8"/>
  <c r="G17" i="6" s="1"/>
  <c r="N15" i="8"/>
  <c r="V15" i="8"/>
  <c r="N8" i="8"/>
  <c r="V8" i="8"/>
  <c r="E10" i="6"/>
  <c r="Q8" i="8"/>
  <c r="I10" i="6" s="1"/>
  <c r="P8" i="8"/>
  <c r="H10" i="6" s="1"/>
  <c r="C24" i="4"/>
  <c r="O8" i="8"/>
  <c r="G10" i="6" s="1"/>
  <c r="N5" i="8"/>
  <c r="V5" i="8"/>
  <c r="E7" i="6"/>
  <c r="Q5" i="8"/>
  <c r="P5" i="8"/>
  <c r="O5" i="8"/>
  <c r="C4" i="12"/>
  <c r="M24" i="8"/>
  <c r="A5" i="5" s="1"/>
  <c r="E20" i="6"/>
  <c r="Q18" i="8"/>
  <c r="P18" i="8"/>
  <c r="O18" i="8"/>
  <c r="N18" i="8"/>
  <c r="C30" i="4"/>
  <c r="V18" i="8"/>
  <c r="C8" i="12"/>
  <c r="C14" i="5" s="1"/>
  <c r="F25" i="6"/>
  <c r="R23" i="8"/>
  <c r="C37" i="4"/>
  <c r="Y4" i="8"/>
  <c r="G9" i="12"/>
  <c r="E6" i="12"/>
  <c r="G11" i="6"/>
  <c r="E8" i="6"/>
  <c r="Q6" i="8"/>
  <c r="P6" i="8"/>
  <c r="O6" i="8"/>
  <c r="N6" i="8"/>
  <c r="C28" i="4"/>
  <c r="V6" i="8"/>
  <c r="C5" i="12"/>
  <c r="C11" i="5" s="1"/>
  <c r="Q21" i="8"/>
  <c r="I23" i="6" s="1"/>
  <c r="P21" i="8"/>
  <c r="H23" i="6" s="1"/>
  <c r="O21" i="8"/>
  <c r="G23" i="6" s="1"/>
  <c r="N21" i="8"/>
  <c r="V21" i="8"/>
  <c r="E23" i="6"/>
  <c r="Q9" i="6"/>
  <c r="P9" i="6"/>
  <c r="N17" i="8"/>
  <c r="V17" i="8"/>
  <c r="E19" i="6"/>
  <c r="Q17" i="8"/>
  <c r="I19" i="6" s="1"/>
  <c r="P17" i="8"/>
  <c r="H19" i="6" s="1"/>
  <c r="O17" i="8"/>
  <c r="G19" i="6" s="1"/>
  <c r="U11" i="6"/>
  <c r="T11" i="6"/>
  <c r="S11" i="6"/>
  <c r="F9" i="12"/>
  <c r="P12" i="6"/>
  <c r="F22" i="6"/>
  <c r="J22" i="6" s="1"/>
  <c r="Q22" i="6" s="1"/>
  <c r="R20" i="8"/>
  <c r="H11" i="6"/>
  <c r="F6" i="12"/>
  <c r="N25" i="6"/>
  <c r="X23" i="8"/>
  <c r="I9" i="12" s="1"/>
  <c r="E15" i="5" s="1"/>
  <c r="N13" i="6"/>
  <c r="X11" i="8"/>
  <c r="N11" i="6"/>
  <c r="X9" i="8"/>
  <c r="Y23" i="8" l="1"/>
  <c r="Y20" i="8"/>
  <c r="U23" i="6"/>
  <c r="T23" i="6"/>
  <c r="S23" i="6"/>
  <c r="J9" i="12"/>
  <c r="F15" i="5" s="1"/>
  <c r="I16" i="6"/>
  <c r="G7" i="12"/>
  <c r="Y9" i="8"/>
  <c r="H16" i="6"/>
  <c r="F7" i="12"/>
  <c r="C10" i="5"/>
  <c r="C10" i="12"/>
  <c r="G15" i="5" s="1"/>
  <c r="N16" i="6"/>
  <c r="X14" i="8"/>
  <c r="G12" i="5"/>
  <c r="R21" i="8"/>
  <c r="F23" i="6"/>
  <c r="J23" i="6" s="1"/>
  <c r="Q23" i="6" s="1"/>
  <c r="H8" i="6"/>
  <c r="F5" i="12"/>
  <c r="G14" i="5"/>
  <c r="H7" i="6"/>
  <c r="P24" i="8"/>
  <c r="F4" i="12"/>
  <c r="F10" i="12" s="1"/>
  <c r="Q6" i="6"/>
  <c r="P6" i="6"/>
  <c r="T16" i="6"/>
  <c r="U16" i="6"/>
  <c r="S16" i="6"/>
  <c r="N14" i="6"/>
  <c r="X12" i="8"/>
  <c r="N10" i="6"/>
  <c r="X8" i="8"/>
  <c r="I8" i="6"/>
  <c r="G5" i="12"/>
  <c r="N20" i="6"/>
  <c r="X18" i="8"/>
  <c r="I7" i="6"/>
  <c r="G4" i="12"/>
  <c r="Q24" i="8"/>
  <c r="F10" i="6"/>
  <c r="J10" i="6" s="1"/>
  <c r="Q10" i="6" s="1"/>
  <c r="R8" i="8"/>
  <c r="R14" i="8"/>
  <c r="D7" i="12"/>
  <c r="F16" i="6"/>
  <c r="T14" i="6"/>
  <c r="U14" i="6"/>
  <c r="S14" i="6"/>
  <c r="T10" i="6"/>
  <c r="U10" i="6"/>
  <c r="S10" i="6"/>
  <c r="G8" i="6"/>
  <c r="E5" i="12"/>
  <c r="T8" i="6"/>
  <c r="U8" i="6"/>
  <c r="S8" i="6"/>
  <c r="U7" i="6"/>
  <c r="T7" i="6"/>
  <c r="S7" i="6"/>
  <c r="S26" i="6"/>
  <c r="E26" i="6"/>
  <c r="N17" i="6"/>
  <c r="X15" i="8"/>
  <c r="R12" i="8"/>
  <c r="F14" i="6"/>
  <c r="J14" i="6" s="1"/>
  <c r="Q14" i="6" s="1"/>
  <c r="R6" i="8"/>
  <c r="F8" i="6"/>
  <c r="D5" i="12"/>
  <c r="J25" i="6"/>
  <c r="U19" i="6"/>
  <c r="T19" i="6"/>
  <c r="S19" i="6"/>
  <c r="N19" i="6"/>
  <c r="X17" i="8"/>
  <c r="N7" i="6"/>
  <c r="V24" i="8"/>
  <c r="X5" i="8"/>
  <c r="R13" i="6"/>
  <c r="O13" i="6"/>
  <c r="P13" i="6" s="1"/>
  <c r="G7" i="6"/>
  <c r="E4" i="12"/>
  <c r="O24" i="8"/>
  <c r="R18" i="8"/>
  <c r="F20" i="6"/>
  <c r="D8" i="12"/>
  <c r="R15" i="8"/>
  <c r="F17" i="6"/>
  <c r="J17" i="6" s="1"/>
  <c r="Q17" i="6" s="1"/>
  <c r="G20" i="6"/>
  <c r="E8" i="12"/>
  <c r="F7" i="6"/>
  <c r="R5" i="8"/>
  <c r="D4" i="12"/>
  <c r="N24" i="8"/>
  <c r="U20" i="6"/>
  <c r="T20" i="6"/>
  <c r="S20" i="6"/>
  <c r="N23" i="6"/>
  <c r="X21" i="8"/>
  <c r="H9" i="12"/>
  <c r="D15" i="5" s="1"/>
  <c r="I6" i="12"/>
  <c r="E12" i="5" s="1"/>
  <c r="G11" i="5"/>
  <c r="H20" i="6"/>
  <c r="F8" i="12"/>
  <c r="G13" i="5"/>
  <c r="R22" i="6"/>
  <c r="O22" i="6"/>
  <c r="P22" i="6" s="1"/>
  <c r="Y11" i="8"/>
  <c r="R25" i="6"/>
  <c r="O25" i="6"/>
  <c r="R17" i="8"/>
  <c r="Y17" i="8" s="1"/>
  <c r="F19" i="6"/>
  <c r="J19" i="6" s="1"/>
  <c r="Q19" i="6" s="1"/>
  <c r="R11" i="6"/>
  <c r="O11" i="6"/>
  <c r="P11" i="6"/>
  <c r="N8" i="6"/>
  <c r="X6" i="8"/>
  <c r="I5" i="12" s="1"/>
  <c r="E11" i="5" s="1"/>
  <c r="G8" i="12"/>
  <c r="I20" i="6"/>
  <c r="T17" i="6"/>
  <c r="S17" i="6"/>
  <c r="U17" i="6"/>
  <c r="G16" i="6"/>
  <c r="E7" i="12"/>
  <c r="D6" i="12"/>
  <c r="Y8" i="8" l="1"/>
  <c r="Y12" i="8"/>
  <c r="Y15" i="8"/>
  <c r="J16" i="6"/>
  <c r="R14" i="6"/>
  <c r="O14" i="6"/>
  <c r="H6" i="12"/>
  <c r="D12" i="5" s="1"/>
  <c r="C16" i="5"/>
  <c r="G10" i="5"/>
  <c r="G16" i="5" s="1"/>
  <c r="R19" i="6"/>
  <c r="O19" i="6"/>
  <c r="P19" i="6" s="1"/>
  <c r="R7" i="6"/>
  <c r="R26" i="6" s="1"/>
  <c r="O7" i="6"/>
  <c r="N26" i="6"/>
  <c r="J6" i="12"/>
  <c r="F12" i="5" s="1"/>
  <c r="J20" i="6"/>
  <c r="H8" i="12"/>
  <c r="D14" i="5" s="1"/>
  <c r="Y18" i="8"/>
  <c r="X24" i="8"/>
  <c r="J5" i="5" s="1"/>
  <c r="I4" i="12"/>
  <c r="R10" i="6"/>
  <c r="O10" i="6"/>
  <c r="P10" i="6" s="1"/>
  <c r="G10" i="12"/>
  <c r="Y21" i="8"/>
  <c r="C31" i="4"/>
  <c r="H5" i="12"/>
  <c r="D11" i="5" s="1"/>
  <c r="Y6" i="8"/>
  <c r="J5" i="12" s="1"/>
  <c r="F11" i="5" s="1"/>
  <c r="R17" i="6"/>
  <c r="O17" i="6"/>
  <c r="P17" i="6" s="1"/>
  <c r="E10" i="12"/>
  <c r="I26" i="6"/>
  <c r="H26" i="6"/>
  <c r="D10" i="12"/>
  <c r="G26" i="6"/>
  <c r="Q25" i="6"/>
  <c r="P25" i="6"/>
  <c r="P14" i="6"/>
  <c r="I8" i="12"/>
  <c r="E14" i="5" s="1"/>
  <c r="I7" i="12"/>
  <c r="E13" i="5" s="1"/>
  <c r="U26" i="6"/>
  <c r="R20" i="6"/>
  <c r="O20" i="6"/>
  <c r="R16" i="6"/>
  <c r="O16" i="6"/>
  <c r="R23" i="6"/>
  <c r="O23" i="6"/>
  <c r="P23" i="6" s="1"/>
  <c r="C29" i="4"/>
  <c r="H7" i="12"/>
  <c r="D13" i="5" s="1"/>
  <c r="Y14" i="8"/>
  <c r="R8" i="6"/>
  <c r="O8" i="6"/>
  <c r="H4" i="12"/>
  <c r="Y5" i="8"/>
  <c r="R24" i="8"/>
  <c r="G5" i="5" s="1"/>
  <c r="J7" i="6"/>
  <c r="F26" i="6"/>
  <c r="J8" i="6"/>
  <c r="J7" i="12" l="1"/>
  <c r="F13" i="5" s="1"/>
  <c r="Q8" i="6"/>
  <c r="P8" i="6"/>
  <c r="O26" i="6"/>
  <c r="E10" i="5"/>
  <c r="E16" i="5" s="1"/>
  <c r="I10" i="12"/>
  <c r="Q7" i="6"/>
  <c r="Q26" i="6" s="1"/>
  <c r="J26" i="6"/>
  <c r="P7" i="6"/>
  <c r="P26" i="6" s="1"/>
  <c r="J8" i="12"/>
  <c r="F14" i="5" s="1"/>
  <c r="Y24" i="8"/>
  <c r="D5" i="5" s="1"/>
  <c r="J4" i="12"/>
  <c r="D10" i="5"/>
  <c r="D16" i="5" s="1"/>
  <c r="H10" i="12"/>
  <c r="Q20" i="6"/>
  <c r="P20" i="6"/>
  <c r="Q16" i="6"/>
  <c r="P16" i="6"/>
  <c r="J10" i="12" l="1"/>
  <c r="F10" i="5"/>
  <c r="F16" i="5" s="1"/>
</calcChain>
</file>

<file path=xl/sharedStrings.xml><?xml version="1.0" encoding="utf-8"?>
<sst xmlns="http://schemas.openxmlformats.org/spreadsheetml/2006/main" count="1004" uniqueCount="667">
  <si>
    <t>Muhammad Zeenat Ullah</t>
  </si>
  <si>
    <t>CA Finalist (ICAP)   ·   QBO ProAdvisor   ·   Excel Expert</t>
  </si>
  <si>
    <t>PORTFOLIO PROJECT</t>
  </si>
  <si>
    <t>Formula Rebuild &amp; Reconstruction
HR Payroll Spreadsheet System</t>
  </si>
  <si>
    <t>Fixed 200+ broken formulas · Built 85 new formulas · System runs 80% faster</t>
  </si>
  <si>
    <t>CLIENT</t>
  </si>
  <si>
    <t>DURATION</t>
  </si>
  <si>
    <t>Summit HR Solutions, Atlanta GA</t>
  </si>
  <si>
    <t>4 Days</t>
  </si>
  <si>
    <t>TOOLS USED</t>
  </si>
  <si>
    <t>DELIVERABLES</t>
  </si>
  <si>
    <t>Excel · Advanced Formulas · Dynamic Arrays · SUMIFS · INDEX-MATCH</t>
  </si>
  <si>
    <t>Fixed Formula Library · New Formulas · Documentation</t>
  </si>
  <si>
    <t>IMPACT</t>
  </si>
  <si>
    <t>PAY FREQUENCY</t>
  </si>
  <si>
    <t>Saved 6 hours/week — Payroll processing now error-free</t>
  </si>
  <si>
    <t>Bi-Weekly (26 periods/year)</t>
  </si>
  <si>
    <t>FORMULAS</t>
  </si>
  <si>
    <t>SCOPE</t>
  </si>
  <si>
    <t>INDEX-MATCH · Nested IF · SUMIFS · COUNTIF · IFERROR · IRS Pub 15-T W/H</t>
  </si>
  <si>
    <t>20 Employees · 5 Departments · Federal + GA Payroll</t>
  </si>
  <si>
    <t>CONTACT</t>
  </si>
  <si>
    <t>zeenatullah.bookkeeper@gmail.com   ·   WhatsApp: +44 7577 845321</t>
  </si>
  <si>
    <t>CA Finalist (ICAP)  ·  QuickBooks Online ProAdvisor  ·  Excel Expert</t>
  </si>
  <si>
    <t>Portfolio Sample  ·  Client name and all employee data are entirely fictitious  ·  Created to demonstrate formula-building expertise</t>
  </si>
  <si>
    <t>PAYROLL FORMULA REBUILD  |  Summit HR Solutions, Atlanta GA</t>
  </si>
  <si>
    <t>Prepared by: Muhammad Zeenat Ullah  ·  CA Finalist (ICAP)  ·  QBO ProAdvisor  ·  Excel Expert</t>
  </si>
  <si>
    <t>200+</t>
  </si>
  <si>
    <t>85</t>
  </si>
  <si>
    <t>6 hrs</t>
  </si>
  <si>
    <t>80%</t>
  </si>
  <si>
    <t>Broken Formulas Fixed</t>
  </si>
  <si>
    <t>New Formulas Built</t>
  </si>
  <si>
    <t>Saved Every Week</t>
  </si>
  <si>
    <t>Faster Processing</t>
  </si>
  <si>
    <t xml:space="preserve">  THE SITUATION</t>
  </si>
  <si>
    <t>WHAT WAS BROKEN</t>
  </si>
  <si>
    <t>WHAT IT WAS COSTING</t>
  </si>
  <si>
    <t>WHAT I DELIVERED</t>
  </si>
  <si>
    <t>Payroll formulas showing errors — numbers could not be trusted</t>
  </si>
  <si>
    <t>Payroll team manually checking every cell before each run: 6 hours wasted every week</t>
  </si>
  <si>
    <t>100% error-free. Every number calculates automatically. Zero manual checking needed.</t>
  </si>
  <si>
    <t>Federal tax withheld at wrong flat rate — same % for every employee</t>
  </si>
  <si>
    <t>Employees over/under-withheld. Real risk of IRS underpayment penalties and employee complaints</t>
  </si>
  <si>
    <t>Correct IRS withholding for every employee based on their salary, filing status, and tax bracket.</t>
  </si>
  <si>
    <t>Overtime paid at wrong rate — extra pay going out every check</t>
  </si>
  <si>
    <t>$200–$400 overpaid per overtime employee per pay period. Multiplied across the team = significant loss</t>
  </si>
  <si>
    <t>Overtime calculated exactly per federal FLSA law. Employees paid correctly — not a dollar more or less.</t>
  </si>
  <si>
    <t>Salary formulas using wrong pay period divisor</t>
  </si>
  <si>
    <t>Salaried employees underpaid by approx 8% each check — payroll liability and employee trust issue</t>
  </si>
  <si>
    <t>All salaries divided correctly for bi-weekly schedule. Every employee paid exact contracted amount.</t>
  </si>
  <si>
    <t>Year-to-date totals ignoring bonuses and variable pay</t>
  </si>
  <si>
    <t>W-2 preparation inaccurate. Tax filings at risk. Employees questioning their YTD figures.</t>
  </si>
  <si>
    <t>True YTD totals pulling from complete payroll history. Accurate for W-2s, audits, and employee records.</t>
  </si>
  <si>
    <t>Social Security over-deducted for higher earners</t>
  </si>
  <si>
    <t>High earners over-deducted by up to $847/year. Company exposed to correction and reimbursement costs</t>
  </si>
  <si>
    <t>SS withholding automatically stops at the IRS annual wage base. Zero over-deduction risk.</t>
  </si>
  <si>
    <t>Lookup formulas breaking when columns moved</t>
  </si>
  <si>
    <t>Manual formula repairs needed every pay run — adding to the 6-hour weekly correction burden</t>
  </si>
  <si>
    <t>Formulas rebuilt so they cannot break from column changes. Works reliably every pay run, permanently.</t>
  </si>
  <si>
    <t xml:space="preserve">  WHY HIRE ME</t>
  </si>
  <si>
    <t>CA Finalist (ICAP)</t>
  </si>
  <si>
    <t>Internationally recognized accounting qualification. I understand payroll not just as formulas, but as financial compliance — taxes, FLSA, IRS rules, and reporting accuracy.</t>
  </si>
  <si>
    <t>QBO ProAdvisor</t>
  </si>
  <si>
    <t>Certified in QuickBooks Online. I connect Excel payroll data seamlessly with your accounting software — no double entry, no reconciliation headaches.</t>
  </si>
  <si>
    <t>Excel Expert</t>
  </si>
  <si>
    <t>I build spreadsheets that work without you needing to understand a single formula. You enter data. The system does the rest. Permanently.</t>
  </si>
  <si>
    <t>US Payroll Specific</t>
  </si>
  <si>
    <t>This workbook uses real IRS Publication 15-T 2024 tables, actual FLSA overtime rules, Georgia state flat tax (5.49%), Social Security wage base ($176,100), and FUTA/SUTA rates. Not generic — built for US compliance.</t>
  </si>
  <si>
    <t>Portfolio, Not a Template</t>
  </si>
  <si>
    <t>Every formula in this workbook was written from scratch. Nothing downloaded. Nothing templated. This is original work — which means I can build the same for your specific business needs.</t>
  </si>
  <si>
    <t>Ready to fix your spreadsheet?  —  zeenatullah.bookkeeper@gmail.com  |  WhatsApp: +44 7577 845321  |  Muhammad Zeenat Ullah  ·  CA Finalist (ICAP)  ·  QBO ProAdvisor  ·  Excel Expert</t>
  </si>
  <si>
    <t>Muhammad Zeenat Ullah  |  CA Finalist (ICAP)  |  QBO ProAdvisor  |  Excel Expert  |  zeenatullah.bookkeeper@gmail.com  |  WhatsApp: +44 7577 845321</t>
  </si>
  <si>
    <t>Portfolio Sample — Client name, employee names, and all figures are entirely fictitious. Created to demonstrate advanced Excel payroll formula expertise.</t>
  </si>
  <si>
    <t>BEFORE vs AFTER  |  10 Real Problems Found and Fixed  |  Summit HR Solutions</t>
  </si>
  <si>
    <t>Muhammad Zeenat Ullah  ·  CA Finalist (ICAP)  ·  QBO ProAdvisor  ·  Excel Expert  ·  zeenatullah.bookkeeper@gmail.com</t>
  </si>
  <si>
    <t>ERROR IT CAUSED</t>
  </si>
  <si>
    <t>BUSINESS COST</t>
  </si>
  <si>
    <t>WHAT I FIXED / BUILT</t>
  </si>
  <si>
    <t>1.  Employee lookup formulas returning blank results — employee names, rates, and departments not pulling into payroll rows</t>
  </si>
  <si>
    <t>Payroll rows for affected employees were empty — pay could not be calculated without manual data entry every run</t>
  </si>
  <si>
    <t>6+ hours/week of manual data entry. High risk of entry mistakes causing wrong pay amounts</t>
  </si>
  <si>
    <t>Rebuilt all lookups so they find employee data automatically and reliably — even when the employee list is reorganized or expanded</t>
  </si>
  <si>
    <t>2.  Federal income tax calculated at a single flat percentage for every employee regardless of salary or filing status</t>
  </si>
  <si>
    <t>Employees over-withheld or under-withheld on federal tax every single pay period — non-compliant with IRS rules</t>
  </si>
  <si>
    <t>Risk of IRS underpayment penalties. Employee complaints about wrong take-home pay. Potential back-corrections needed</t>
  </si>
  <si>
    <t>Federal tax now calculated using official IRS 2024 tables — correct amount for each employee based on their exact salary and filing status</t>
  </si>
  <si>
    <t>3.  Overtime pay formula multiplying all hours by 1.5x whenever an employee worked overtime</t>
  </si>
  <si>
    <t>Employees whose regular hours were also multiplied received $200–$400 extra per overtime pay period</t>
  </si>
  <si>
    <t>Direct payroll overpayment every period overtime occurred. Federal FLSA compliance violation — legal exposure</t>
  </si>
  <si>
    <t>Overtime recalculated using the FLSA-required method: straight pay for all hours plus a premium only on overtime hours — legally correct</t>
  </si>
  <si>
    <t>4.  Annual salary divided by 12 (monthly amount) in a bi-weekly payroll system that should divide by 26</t>
  </si>
  <si>
    <t>Every salaried employee was underpaid by approximately 8% each pay period</t>
  </si>
  <si>
    <t>For a $78,000/year employee: $500 underpaid every two weeks. Payroll liability and serious employee trust damage</t>
  </si>
  <si>
    <t>All salary formulas corrected to bi-weekly division. Every salaried employee now receives exactly their contracted pay each period</t>
  </si>
  <si>
    <t>5.  Year-to-date totals calculated by multiplying the current pay period amount by the number of periods</t>
  </si>
  <si>
    <t>YTD figures completely ignored bonuses, overtime variation, and any pay rate changes made during the year</t>
  </si>
  <si>
    <t>Inaccurate W-2 preparation risk. Employee YTD queries unanswerable. Year-end tax filing exposure</t>
  </si>
  <si>
    <t>YTD now totals actual payroll history period by period — accurate for every employee regardless of bonuses or variable pay</t>
  </si>
  <si>
    <t>6.  Social Security deduction applied at 6.2% continuously with no annual wage base limit</t>
  </si>
  <si>
    <t>High-earning employees kept being deducted Social Security beyond the IRS annual limit of $176,100</t>
  </si>
  <si>
    <t>Up to $847 over-deducted per high earner per year. Company required to refund the difference — administrative cost and employee dissatisfaction</t>
  </si>
  <si>
    <t>Social Security automatically stops deducting the moment an employee reaches the annual wage base. Zero over-deduction possible</t>
  </si>
  <si>
    <t>7.  Department payroll totals calculated manually or by hardcoded cell ranges that broke when rows changed</t>
  </si>
  <si>
    <t>Department cost reports were wrong or unavailable — management could not see accurate payroll by department</t>
  </si>
  <si>
    <t>Management decisions based on incorrect cost data. Budget vs actual comparisons unreliable</t>
  </si>
  <si>
    <t>Department totals now calculate automatically using the entire payroll data — update instantly when any employee data changes</t>
  </si>
  <si>
    <t>8.  Georgia state income tax applied to take-home pay after deductions instead of gross wages</t>
  </si>
  <si>
    <t>State tax under-withheld for every employee — tax base was smaller than it should legally be</t>
  </si>
  <si>
    <t>Potential Georgia DOR underpayment exposure for all 20 employees across every pay period</t>
  </si>
  <si>
    <t>Georgia 5.49% flat tax now correctly applied to gross wages — compliant with Georgia Department of Revenue requirements</t>
  </si>
  <si>
    <t>9.  Benefit deduction formulas returning a blank space instead of zero when an employee had no election</t>
  </si>
  <si>
    <t>Every total and net pay formula downstream of those cells returned errors — net pay uncalculable</t>
  </si>
  <si>
    <t>Payroll could not be completed without manually deleting the problematic cells each run — added to the correction burden</t>
  </si>
  <si>
    <t>All benefit formulas return zero when no deduction applies — net pay and totals calculate cleanly with no manual intervention</t>
  </si>
  <si>
    <t>10.  Conditional formatting error-highlight rules pointing to a worksheet that had been deleted</t>
  </si>
  <si>
    <t>Color-coded alerts completely non-functional — payroll errors were invisible until they caused problems</t>
  </si>
  <si>
    <t>Staff had no early warning system. Errors only discovered after checks were already processed or distributed</t>
  </si>
  <si>
    <t>Visual alert system fully rebuilt — errors, anomalies, and employees approaching tax limits are all highlighted automatically in color</t>
  </si>
  <si>
    <t>RESULT:  200+ formulas fixed  ·  85 new formulas built  ·  6 hours/week saved  ·  IRS compliant  ·  FLSA compliant  ·  Zero errors remaining</t>
  </si>
  <si>
    <t>Have a broken spreadsheet?  Get in touch:  zeenatullah.bookkeeper@gmail.com  |  WhatsApp: +44 7577 845321</t>
  </si>
  <si>
    <t>FORMULA SHOWCASE  |  Every Formula Built &amp; Fixed  |  Summit HR Solutions Payroll System</t>
  </si>
  <si>
    <t>Muhammad Zeenat Ullah  ·  CA Finalist (ICAP)  ·  QBO ProAdvisor  ·  Excel Expert  ·  zeenatullah.bookkeeper@gmail.com  ·  +44 7577 845321</t>
  </si>
  <si>
    <t>LIVE RESULTS BELOW — Every formula in the Result column is actively pulling real data from the Payroll Register and Employee Master in this workbook. Nothing is hardcoded.</t>
  </si>
  <si>
    <t xml:space="preserve">  FORMULA USAGE SUMMARY — How Many Times Each Formula Was Used Across This Workbook</t>
  </si>
  <si>
    <t>FORMULA TYPE</t>
  </si>
  <si>
    <t>TIMES USED</t>
  </si>
  <si>
    <t>INDEX-MATCH</t>
  </si>
  <si>
    <t>120+</t>
  </si>
  <si>
    <t>Lookup formula. Replaces VLOOKUP. Used to pull every employee attribute (name, rate, department, tax rate, benefits) from the Employee Master into the Payroll Register. Works in any direction. Cannot break when columns move.</t>
  </si>
  <si>
    <t>Nested IF</t>
  </si>
  <si>
    <t>20</t>
  </si>
  <si>
    <t>Decision formula. Used to calculate federal income tax withholding — checks filing status (MFJ vs Single), then tests 7 tax bracket thresholds in sequence to find the correct IRS percentage. Each employee's withholding calculated precisely per IRS Pub 15-T 2024.</t>
  </si>
  <si>
    <t>SUMIFS</t>
  </si>
  <si>
    <t>48+</t>
  </si>
  <si>
    <t>Conditional sum formula. Used in Department Summary to total gross pay, taxes, and deductions per department. Used in YTD Summary to total each employee's year-to-date figures. Updates automatically every pay period.</t>
  </si>
  <si>
    <t>IFERROR</t>
  </si>
  <si>
    <t>100+</t>
  </si>
  <si>
    <t>Error-protection formula. Wraps every single lookup formula in the workbook. If an employee ID is not found, returns zero instead of crashing the row with an error. Prevents one bad cell from breaking an entire payroll run.</t>
  </si>
  <si>
    <t>ROUND</t>
  </si>
  <si>
    <t>60+</t>
  </si>
  <si>
    <t>Precision formula. Wraps every tax and deduction calculation. Ensures Social Security (6.2%), Medicare (1.45%), and Georgia state tax (5.49%) are always calculated to exactly 2 decimal places — no rounding errors accumulating across 26 pay periods.</t>
  </si>
  <si>
    <t>COUNTIF</t>
  </si>
  <si>
    <t>7</t>
  </si>
  <si>
    <t>Counting formula. Used in Department Summary to count employees per department, and in Dashboard to count total active employees. Updates instantly when employee status changes.</t>
  </si>
  <si>
    <t>SUM</t>
  </si>
  <si>
    <t>50+</t>
  </si>
  <si>
    <t>Totalling formula. Used in every row to sum gross pay components, tax components, and deduction components. Used in every totals row to sum across all 20 employees. All totals rows use SUM — nothing is manually entered.</t>
  </si>
  <si>
    <t>IF</t>
  </si>
  <si>
    <t>40+</t>
  </si>
  <si>
    <t>Logic formula. Used to distinguish salaried vs hourly pay (salary divides annual by 26, hourly multiplies rate by hours), to apply FLSA overtime premium for hourly employees only, and to stop Social Security withholding at the annual wage base.</t>
  </si>
  <si>
    <t xml:space="preserve">  LIVE DEMONSTRATIONS — Each result below is a real formula pulling live data from this workbook</t>
  </si>
  <si>
    <t>LIVE RESULT</t>
  </si>
  <si>
    <t>FORMULA USED (display)</t>
  </si>
  <si>
    <t>PLAIN-ENGLISH EXPLANATION</t>
  </si>
  <si>
    <t>INDEX-MATCH
(Employee Lookup)</t>
  </si>
  <si>
    <t>IFERROR( INDEX( EmployeeName_Range, MATCH( EmpID, EmpID_Range, 0 ) ), "" )</t>
  </si>
  <si>
    <t>Finds employee E-1001 in the Employee Master and returns their last name. Uses MATCH to locate the row, INDEX to retrieve the value. IFERROR prevents errors if the ID is missing.</t>
  </si>
  <si>
    <t>INDEX-MATCH
(Salary Lookup)</t>
  </si>
  <si>
    <t>IFERROR( INDEX( AnnualSalary_Range, MATCH( EmpID, EmpID_Range, 0 ) ), 0 )</t>
  </si>
  <si>
    <t>Retrieves the annual salary of employee E-1003 (Williams, Controller) from the Employee Master. The same pattern is repeated for every data field: rate, department, filing status, benefits.</t>
  </si>
  <si>
    <t>INDEX-MATCH
(Hourly Rate)</t>
  </si>
  <si>
    <t>IFERROR( INDEX( HourlyRate_Range, MATCH( EmpID, EmpID_Range, 0 ) ), 0 )</t>
  </si>
  <si>
    <t>Retrieves the hourly rate for E-1009 (Wilson, Warehouse Lead) — an hourly employee. The IF formula in gross pay then uses this rate multiplied by hours worked.</t>
  </si>
  <si>
    <t>IF — Salary vs Hourly
(Gross Pay)</t>
  </si>
  <si>
    <t>IF( PayType = Salary,  AnnualSalary / 26,  HourlyRate * RegHours )</t>
  </si>
  <si>
    <t>Checks whether the employee is Salaried or Hourly. Salaried employees get annual salary divided by 26 (bi-weekly). Hourly employees get rate multiplied by hours. One formula handles both pay types.</t>
  </si>
  <si>
    <t>IF — FLSA Overtime
(Half-Time Premium)</t>
  </si>
  <si>
    <t>IF( PayType = Hourly,  HourlyRate * OT_Hours * 0.5,  0 )</t>
  </si>
  <si>
    <t>Calculates the FLSA overtime premium for E-1009 who worked 5.5 OT hours this period. Only the half-time premium (0.5x) is added — the straight-time pay is already included in regular gross. FLSA-compliant.</t>
  </si>
  <si>
    <t>Nested IF
(Federal Withholding MFJ)</t>
  </si>
  <si>
    <t>IF( Annual&lt;=14600, Annual*10%,  IF( Annual&lt;=57750, 1460+(Annual-14600)*12%,  IF( Annual&lt;=113600, 6628+(Annual-57750)*22%,  18914+(Annual-113600)*24% ) ) ) / 26</t>
  </si>
  <si>
    <t>IRS Pub 15-T 2024 Percentage Method for Married Filing Jointly. Annualizes bi-weekly gross (x26), tests each bracket threshold in sequence, calculates annual tax at correct marginal rate, divides by 26 for per-period withholding. Anderson (E-1001, $115K MFJ) should show ~$740.</t>
  </si>
  <si>
    <t>Nested IF
(Federal Withholding Single)</t>
  </si>
  <si>
    <t>IF( Annual&lt;=7300, Annual*10%,  IF( Annual&lt;=28875, 730+(Annual-7300)*12%,  IF( Annual&lt;=56875, 3319+(Annual-28875)*22%,  9479+(Annual-56875)*24% ) ) ) / 26</t>
  </si>
  <si>
    <t>IRS Pub 15-T 2024 Single filer table. Davis (E-1005, $55K Single) falls in the 22% bracket. Formula annualizes, finds the bracket, calculates tax at correct marginal rate, divides by 26. Should show ~$349.</t>
  </si>
  <si>
    <t>ROUND — Social Security
(6.2% with Wage Base)</t>
  </si>
  <si>
    <t>ROUND( GrossTotal * 0.062,  2 )</t>
  </si>
  <si>
    <t>Calculates employee Social Security contribution at 6.2% for Anderson (E-1001). ROUND ensures exactly 2 decimal places — no floating point rounding errors accumulating across 26 pay periods. Full wage base monitor is in YTD Summary.</t>
  </si>
  <si>
    <t>ROUND — Medicare
(1.45% No Wage Base)</t>
  </si>
  <si>
    <t>ROUND( GrossTotal * 0.0145,  2 )</t>
  </si>
  <si>
    <t>Calculates Medicare (HI) tax at 1.45% with no wage base limit. An additional 0.9% applies for wages over $200K annually — monitored in YTD Summary. ROUND prevents cent-level rounding errors.</t>
  </si>
  <si>
    <t>ROUND — Georgia State Tax
(5.49% Flat Rate)</t>
  </si>
  <si>
    <t>ROUND( GrossTotal * INDEX( GA_Rate_Range, MATCH( EmpID, EmpID_Range, 0 ) ),  2 )</t>
  </si>
  <si>
    <t>Georgia flat income tax at 5.49% (effective Jan 1 2024) applied to gross wages. Rate is pulled from Employee Master via INDEX-MATCH — if the rate changes, update one cell and the entire payroll updates automatically.</t>
  </si>
  <si>
    <t>SUMIFS — Department
Gross Pay Total</t>
  </si>
  <si>
    <t>SUMIFS( GrossPay_Range,  Department_Range,  "Finance" )</t>
  </si>
  <si>
    <t>Totals gross pay for all Finance department employees in the current pay period. Automatically includes any new Finance employees added to the register. Used across all 6 departments in the Department Summary sheet.</t>
  </si>
  <si>
    <t>SUMIFS — Department
Total Tax Withheld</t>
  </si>
  <si>
    <t>SUMIFS( TotalTax_Range,  Department_Range,  "Information Technology" )</t>
  </si>
  <si>
    <t>Totals all tax withheld (federal + SS + Medicare + GA) for the IT department. Management can see total tax burden per department at a glance. Same SUMIFS pattern used for gross, taxes, deductions, and net across all departments.</t>
  </si>
  <si>
    <t>SUMIFS — YTD
(Prior + Current)</t>
  </si>
  <si>
    <t>SUMIFS( PriorHistory_Gross, EmpID_Range, ThisEmployee )
  + SUMIFS( CurrentRegister_Gross, EmpID_Range, ThisEmployee )</t>
  </si>
  <si>
    <t>True YTD gross for VP of Sales (E-1015 White) — sums verified prior 10 periods from the Prior YTD sheet plus the current period from the Payroll Register. Includes Q1 and Q2 bonuses already paid. Accurate for W-2 preparation.</t>
  </si>
  <si>
    <t>SUMIFS — YTD
Total Tax Withheld</t>
  </si>
  <si>
    <t>SUMIFS( PriorTax, EmpID, Employee ) + SUMIFS( CurrentTax, EmpID, Employee )</t>
  </si>
  <si>
    <t>Year-to-date total taxes withheld for Williams (E-1003, Controller). Combines prior 10 periods with current period. Accurate cumulative tax figure for year-end reporting and employee tax queries.</t>
  </si>
  <si>
    <t>COUNTIF — Active
Employee Count</t>
  </si>
  <si>
    <t>COUNTIF( Status_Range,  "Active" )</t>
  </si>
  <si>
    <t>Counts all employees with Active status in the Employee Master. Used in the Dashboard KPI card. If an employee is terminated (status changed to Inactive), this count automatically decreases and payroll rows are excluded from totals.</t>
  </si>
  <si>
    <t>COUNTIF — Department
Headcount</t>
  </si>
  <si>
    <t>COUNTIF( Department_Range,  "Sales" )</t>
  </si>
  <si>
    <t>Counts employees in the Sales department for the Department Summary. Management sees headcount alongside payroll cost — enabling cost-per-employee analysis by department. Updates automatically when employees are added or change departments.</t>
  </si>
  <si>
    <t>IFERROR — Lookup
Protection</t>
  </si>
  <si>
    <t>IFERROR( INDEX( MATCH( ... ) ),  "Employee Not Found" )</t>
  </si>
  <si>
    <t>Demonstrates error protection — E-9999 does not exist. Without IFERROR this returns a lookup error that cascades into gross pay, taxes, and net pay, breaking the entire row. With IFERROR it returns clean text. Every single lookup in this workbook is wrapped in IFERROR.</t>
  </si>
  <si>
    <t>IFERROR — Division
Protection</t>
  </si>
  <si>
    <t>IFERROR( BenefitAnnual / 26,  0 )</t>
  </si>
  <si>
    <t>Divides E-1008's annual health insurance premium by 26 for the per-period deduction. IFERROR returns 0 if the employee has no benefit election (NULL value) — preventing a division error from crashing the deduction column for that employee.</t>
  </si>
  <si>
    <t>SUM — Gross Components
(Per Employee Row)</t>
  </si>
  <si>
    <t>SUM( BasePay, OT_Premium, HolidayPay, Bonus )</t>
  </si>
  <si>
    <t>Total gross pay for E-1015 (White, VP Sales) = base salary/26 + overtime premium + holiday pay + bonus/commission. Each component is separate so management can see exactly what drives gross pay. This period includes a $2,500 commission payment.</t>
  </si>
  <si>
    <t>SUM — Net Pay
(Gross minus All Deductions)</t>
  </si>
  <si>
    <t>GrossTotal - TotalTaxWithheld - TotalBenefitDeductions</t>
  </si>
  <si>
    <t>Net take-home pay for Anderson (E-1001, HR Director): gross minus all taxes (federal, SS, Medicare, GA) minus all benefit deductions (health, dental, vision, 401k, life insurance). This is the amount deposited directly to the employee's bank account.</t>
  </si>
  <si>
    <t>Portfolio Sample — All company names, employee names, and figures are entirely fictitious. Created to demonstrate advanced Excel payroll formula expertise.</t>
  </si>
  <si>
    <t>PAYROLL DASHBOARD  |  SUMMIT HR SOLUTIONS  |  Atlanta, GA  |  Pay Period: June 1–14, 2026</t>
  </si>
  <si>
    <t>Bi-Weekly  ·  Check Date: June 19, 2026  ·  11 Pay Periods YTD  ·  Fed W/H: IRS Pub 15-T Percentage Method  ·  All figures in USD</t>
  </si>
  <si>
    <t>Total Gross Payroll</t>
  </si>
  <si>
    <t>Total Net Pay</t>
  </si>
  <si>
    <t>Total Tax Withheld</t>
  </si>
  <si>
    <t>Total Deductions</t>
  </si>
  <si>
    <t>Active Employees</t>
  </si>
  <si>
    <t>DEPARTMENT BREAKDOWN — CURRENT PAY PERIOD (from Dept Summary via SUMIFS)</t>
  </si>
  <si>
    <t>Department</t>
  </si>
  <si>
    <t>Headcount</t>
  </si>
  <si>
    <t>Gross Pay</t>
  </si>
  <si>
    <t>Tax W/H</t>
  </si>
  <si>
    <t>Deductions</t>
  </si>
  <si>
    <t>Net Pay</t>
  </si>
  <si>
    <t>% of Gross</t>
  </si>
  <si>
    <t>Human Resources</t>
  </si>
  <si>
    <t>Finance</t>
  </si>
  <si>
    <t>Operations</t>
  </si>
  <si>
    <t>Information Technology</t>
  </si>
  <si>
    <t>Sales</t>
  </si>
  <si>
    <t>Marketing</t>
  </si>
  <si>
    <t>TOTAL</t>
  </si>
  <si>
    <t>CONFIDENTIAL — Internal Use Only  |  Summit HR Solutions  |  Federal W/H per IRS Pub 15-T (2024) — verify brackets for 2026 upon IRS release  |  Formulas: INDEX-MATCH · SUMIFS · Nested IF · IFERROR · COUNTIF · Dynamic Arrays</t>
  </si>
  <si>
    <t>Prepared by: Muhammad Zeenat Ullah  |  CA Finalist (ICAP)  ·  QBO ProAdvisor  ·  Excel Expert  |  zeenatullah.bookkeeper@gmail.com  |  WA: +44 7577 845321</t>
  </si>
  <si>
    <t>Portfolio Sample — All employee names, SSNs, and company data are entirely fictitious and created solely to demonstrate financial formula expertise.</t>
  </si>
  <si>
    <t>YEAR-TO-DATE EARNINGS &amp; TAX SUMMARY  |  January 1 – June 14, 2026  (11 Pay Periods)  |  Summit HR Solutions</t>
  </si>
  <si>
    <t>Formulas used: SUMIFS  ·  INDEX-MATCH  ·  IFERROR  ·  SUM  ·  ROUND  ·  MAX  ·  Nested IF  ·  Division  ·  Arithmetic  —  Muhammad Zeenat Ullah  ·  CA Finalist (ICAP)  ·  QBO ProAdvisor</t>
  </si>
  <si>
    <t>MAX</t>
  </si>
  <si>
    <t>Arithmetic</t>
  </si>
  <si>
    <t>Emp ID</t>
  </si>
  <si>
    <t>Last Name
[INDEX-MATCH]</t>
  </si>
  <si>
    <t>First Name
[INDEX-MATCH]</t>
  </si>
  <si>
    <t>Department
[INDEX-MATCH]</t>
  </si>
  <si>
    <t>YTD Gross
[SUMIFS]</t>
  </si>
  <si>
    <t>YTD Fed W/H
[SUMIFS]</t>
  </si>
  <si>
    <t>YTD SS Tax
[SUMIFS]</t>
  </si>
  <si>
    <t>YTD Medicare
[SUMIFS]</t>
  </si>
  <si>
    <t>YTD GA Tax
[SUMIFS]</t>
  </si>
  <si>
    <t>YTD Total Tax
[SUM]</t>
  </si>
  <si>
    <t>YTD Health
[SUMIFS]</t>
  </si>
  <si>
    <t>YTD Dental
[SUMIFS]</t>
  </si>
  <si>
    <t>YTD Vision
[SUMIFS]</t>
  </si>
  <si>
    <t>YTD 401(k)
[SUMIFS]</t>
  </si>
  <si>
    <t>YTD Total Ded
[SUM]</t>
  </si>
  <si>
    <t>YTD Net Pay
[SUM]</t>
  </si>
  <si>
    <t>Eff Tax Rate
[ROUND]</t>
  </si>
  <si>
    <t>401k % of Gross
[ROUND]</t>
  </si>
  <si>
    <t>SS Base Remaining
[MAX]</t>
  </si>
  <si>
    <t>SS Wage Base Status
[Nested IF]</t>
  </si>
  <si>
    <t>Projected Annual
[Arithmetic]</t>
  </si>
  <si>
    <t>Periods Remaining
[Arithmetic]</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</si>
  <si>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</si>
  <si>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</si>
  <si>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</si>
  <si>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</si>
  <si>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</si>
  <si>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</si>
  <si>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</si>
  <si>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</si>
  <si>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</si>
  <si>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</si>
  <si>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</si>
  <si>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</si>
  <si>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</si>
  <si>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</si>
  <si>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</si>
  <si>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</si>
  <si>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</si>
  <si>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</si>
  <si>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</si>
  <si>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</si>
  <si>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COMPANY TOTALS — YTD JAN 1 TO JUN 14, 2026</t>
  </si>
  <si>
    <t xml:space="preserve">  FORMULA KEY — Every formula type used in this sheet and what it does</t>
  </si>
  <si>
    <t>Columns B, C, D</t>
  </si>
  <si>
    <t>Pulls employee Last Name, First Name, and Department from Employee Master by matching Emp ID. Works even if the Employee Master columns are rearranged. Wrapped in IFERROR so missing IDs return blank instead of an error.</t>
  </si>
  <si>
    <t>Columns E–I, K–N</t>
  </si>
  <si>
    <t>Sums each payroll figure (gross, federal tax, SS, Medicare, GA tax, health, dental, vision, 401k) by matching Employee ID across both the Prior YTD sheet (10 periods) and the current Payroll Register. This is the core of accurate YTD — real history, not a multiplication.</t>
  </si>
  <si>
    <t>Columns J, O, P</t>
  </si>
  <si>
    <t>Column J: sums Federal + SS + Medicare + GA tax to give total tax withheld. Column O: sums all four benefit deductions. Column P: Gross minus Total Tax minus Total Deductions = Net Pay. These aggregate the SUMIFS results into summary figures.</t>
  </si>
  <si>
    <t>Columns Q, R</t>
  </si>
  <si>
    <t>Column Q: ROUND(Total Tax / Gross, 4) = effective tax rate as a percentage. Column R: ROUND(YTD 401k / Gross, 4) = actual 401k contribution rate. ROUND ensures clean percentages — prevents 15.999999% displaying instead of 16.00%.</t>
  </si>
  <si>
    <t>Column S</t>
  </si>
  <si>
    <t>MAX(0, 176100 - YTD Gross) = how much Social Security wage capacity each employee has remaining. MAX(0, ...) ensures the result never goes negative for employees who have already crossed the base. Critical for payroll compliance — SS withholding must stop at $176,100.</t>
  </si>
  <si>
    <t>Column T</t>
  </si>
  <si>
    <t>Three-level IF checks YTD Gross against SS wage base thresholds: IF &gt;= $176,100 → BASE REACHED — STOP SS (red highlight), IF &gt;= $149,685 (85%) → WARNING: monitor closely (orange), IF &gt;= $114,465 (65%) → MONITOR: approaching. Gives payroll staff an automated early-warning system for SS compliance.</t>
  </si>
  <si>
    <t>Columns U, V</t>
  </si>
  <si>
    <t>Column U: ROUND(YTD Gross / 11 * 26, 2) = projected full-year gross at current run rate. Useful for year-end bonus planning and W-2 estimation. Column V: 26 - 11 = 15 pay periods remaining in 2026. Simple arithmetic, but explicitly shown so every calculation in the sheet is visible and verifiable.</t>
  </si>
  <si>
    <t>SUMMIT HR SOLUTIONS  |  EMPLOYEE MASTER DATABASE</t>
  </si>
  <si>
    <t>Atlanta, GA  ·  Pay Period: June 1–14, 2026  ·  Bi-Weekly (26 pay periods/year)  ·  Currency: USD</t>
  </si>
  <si>
    <t>Last Name</t>
  </si>
  <si>
    <t>First Name</t>
  </si>
  <si>
    <t>SSN (Last 4)</t>
  </si>
  <si>
    <t>Job Title</t>
  </si>
  <si>
    <t>Pay Type</t>
  </si>
  <si>
    <t>Hire Date</t>
  </si>
  <si>
    <t>Annual Salary</t>
  </si>
  <si>
    <t>Hourly Rate</t>
  </si>
  <si>
    <t>Status</t>
  </si>
  <si>
    <t>Fed Filing Status</t>
  </si>
  <si>
    <t>Allowances</t>
  </si>
  <si>
    <t>GA Tax Rate</t>
  </si>
  <si>
    <t>Health Ins ($)</t>
  </si>
  <si>
    <t>Dental ($)</t>
  </si>
  <si>
    <t>Vision ($)</t>
  </si>
  <si>
    <t>401(k) %</t>
  </si>
  <si>
    <t>Life Ins ($)</t>
  </si>
  <si>
    <t>Direct Deposit</t>
  </si>
  <si>
    <t>Anderson</t>
  </si>
  <si>
    <t>Michael</t>
  </si>
  <si>
    <t>4521</t>
  </si>
  <si>
    <t>HR Director</t>
  </si>
  <si>
    <t>Salary</t>
  </si>
  <si>
    <t>01/15/2018</t>
  </si>
  <si>
    <t>Active</t>
  </si>
  <si>
    <t>MFJ</t>
  </si>
  <si>
    <t>Yes</t>
  </si>
  <si>
    <t>Johnson</t>
  </si>
  <si>
    <t>Sarah</t>
  </si>
  <si>
    <t>8834</t>
  </si>
  <si>
    <t>HR Business Partner</t>
  </si>
  <si>
    <t>03/20/2019</t>
  </si>
  <si>
    <t>Single</t>
  </si>
  <si>
    <t>Williams</t>
  </si>
  <si>
    <t>David</t>
  </si>
  <si>
    <t>2277</t>
  </si>
  <si>
    <t>Controller</t>
  </si>
  <si>
    <t>07/08/2017</t>
  </si>
  <si>
    <t>Brown</t>
  </si>
  <si>
    <t>Jessica</t>
  </si>
  <si>
    <t>6690</t>
  </si>
  <si>
    <t>Senior Accountant</t>
  </si>
  <si>
    <t>11/01/2020</t>
  </si>
  <si>
    <t>Davis</t>
  </si>
  <si>
    <t>Robert</t>
  </si>
  <si>
    <t>3315</t>
  </si>
  <si>
    <t>Staff Accountant</t>
  </si>
  <si>
    <t>05/14/2022</t>
  </si>
  <si>
    <t>Martinez</t>
  </si>
  <si>
    <t>Elena</t>
  </si>
  <si>
    <t>9930</t>
  </si>
  <si>
    <t>Operations Manager</t>
  </si>
  <si>
    <t>09/30/2016</t>
  </si>
  <si>
    <t>Garcia</t>
  </si>
  <si>
    <t>Carlos</t>
  </si>
  <si>
    <t>9901</t>
  </si>
  <si>
    <t>Production Supervisor</t>
  </si>
  <si>
    <t>02/18/2021</t>
  </si>
  <si>
    <t>HOH</t>
  </si>
  <si>
    <t>Miller</t>
  </si>
  <si>
    <t>Amanda</t>
  </si>
  <si>
    <t>4433</t>
  </si>
  <si>
    <t>Operations Analyst</t>
  </si>
  <si>
    <t>08/22/2023</t>
  </si>
  <si>
    <t>Wilson</t>
  </si>
  <si>
    <t>James</t>
  </si>
  <si>
    <t>5566</t>
  </si>
  <si>
    <t>Warehouse Lead</t>
  </si>
  <si>
    <t>Hourly</t>
  </si>
  <si>
    <t>04/03/2019</t>
  </si>
  <si>
    <t>Moore</t>
  </si>
  <si>
    <t>Patricia</t>
  </si>
  <si>
    <t>8821</t>
  </si>
  <si>
    <t>Shipping Coordinator</t>
  </si>
  <si>
    <t>10/11/2020</t>
  </si>
  <si>
    <t>Taylor</t>
  </si>
  <si>
    <t>Kevin</t>
  </si>
  <si>
    <t>3344</t>
  </si>
  <si>
    <t>IT Manager</t>
  </si>
  <si>
    <t>06/05/2015</t>
  </si>
  <si>
    <t>Lisa</t>
  </si>
  <si>
    <t>7788</t>
  </si>
  <si>
    <t>Systems Analyst</t>
  </si>
  <si>
    <t>01/09/2021</t>
  </si>
  <si>
    <t>Thomas</t>
  </si>
  <si>
    <t>Brian</t>
  </si>
  <si>
    <t>2255</t>
  </si>
  <si>
    <t>Network Engineer</t>
  </si>
  <si>
    <t>03/14/2022</t>
  </si>
  <si>
    <t>Jackson</t>
  </si>
  <si>
    <t>Nicole</t>
  </si>
  <si>
    <t>6677</t>
  </si>
  <si>
    <t>Help Desk Spec.</t>
  </si>
  <si>
    <t>07/20/2023</t>
  </si>
  <si>
    <t>White</t>
  </si>
  <si>
    <t>Christopher</t>
  </si>
  <si>
    <t>9988</t>
  </si>
  <si>
    <t>VP of Sales</t>
  </si>
  <si>
    <t>05/28/2014</t>
  </si>
  <si>
    <t>Harris</t>
  </si>
  <si>
    <t>Megan</t>
  </si>
  <si>
    <t>1123</t>
  </si>
  <si>
    <t>Senior Account Exec</t>
  </si>
  <si>
    <t>02/14/2019</t>
  </si>
  <si>
    <t>Martin</t>
  </si>
  <si>
    <t>Tyler</t>
  </si>
  <si>
    <t>4456</t>
  </si>
  <si>
    <t>Account Executive</t>
  </si>
  <si>
    <t>09/08/2021</t>
  </si>
  <si>
    <t>Thompson</t>
  </si>
  <si>
    <t>Ashley</t>
  </si>
  <si>
    <t>7723</t>
  </si>
  <si>
    <t>Sales Coordinator</t>
  </si>
  <si>
    <t>06/16/2022</t>
  </si>
  <si>
    <t>Marcus</t>
  </si>
  <si>
    <t>3312</t>
  </si>
  <si>
    <t>Marketing Director</t>
  </si>
  <si>
    <t>11/03/2017</t>
  </si>
  <si>
    <t>Sofia</t>
  </si>
  <si>
    <t>8894</t>
  </si>
  <si>
    <t>Digital Mktg Specialist</t>
  </si>
  <si>
    <t>04/25/2023</t>
  </si>
  <si>
    <t>PAYROLL REGISTER  |  Summit HR Solutions  |  Pay Period: June 1–14, 2026  |  Check Date: June 19, 2026</t>
  </si>
  <si>
    <t>IRS Pub 15-T 2024 Percentage Method  ·  SS Wage Base $176,100  ·  GA Flat 5.49%  ·  Medicare 1.45%  ·  FICA 6.2%</t>
  </si>
  <si>
    <t>Reg Hrs</t>
  </si>
  <si>
    <t>OT Hrs</t>
  </si>
  <si>
    <t>Holiday Hrs</t>
  </si>
  <si>
    <t>Base Pay</t>
  </si>
  <si>
    <t>OT Premium</t>
  </si>
  <si>
    <t>Holiday Pay</t>
  </si>
  <si>
    <t>Bonus / Comm</t>
  </si>
  <si>
    <t>GROSS TOTAL</t>
  </si>
  <si>
    <t>Federal W/H</t>
  </si>
  <si>
    <t>Soc Sec (6.2%)</t>
  </si>
  <si>
    <t>Medicare (1.45%)</t>
  </si>
  <si>
    <t>GA State (5.49%)</t>
  </si>
  <si>
    <t>TOTAL TAX W/H</t>
  </si>
  <si>
    <t>Health Ins</t>
  </si>
  <si>
    <t>Dental</t>
  </si>
  <si>
    <t>Vision</t>
  </si>
  <si>
    <t>401(k)</t>
  </si>
  <si>
    <t>Life Ins</t>
  </si>
  <si>
    <t>TOTAL DEDUCTIONS</t>
  </si>
  <si>
    <t>NET PAY</t>
  </si>
  <si>
    <t>PAYROLL TOTALS — CURRENT PERIOD</t>
  </si>
  <si>
    <t>PRIOR YEAR-TO-DATE SUMMARY  |  January 1 – May 31, 2026  |  10 Pay Periods Completed</t>
  </si>
  <si>
    <t>Verified payroll totals. Source: Payroll runs PP01–PP10. Values used by YTD Summary via cell reference formulas.</t>
  </si>
  <si>
    <t>YTD Gross</t>
  </si>
  <si>
    <t>YTD Fed W/H</t>
  </si>
  <si>
    <t>YTD SS Tax</t>
  </si>
  <si>
    <t>YTD Medicare</t>
  </si>
  <si>
    <t>YTD GA Tax</t>
  </si>
  <si>
    <t>YTD Total Tax</t>
  </si>
  <si>
    <t>YTD Health</t>
  </si>
  <si>
    <t>YTD Dental</t>
  </si>
  <si>
    <t>YTD Vision</t>
  </si>
  <si>
    <t>YTD 401(k)</t>
  </si>
  <si>
    <t>YTD Total Ded</t>
  </si>
  <si>
    <t>YTD Net Pay</t>
  </si>
  <si>
    <t>YTD TOTALS — JAN 1 TO MAY 31, 2026</t>
  </si>
  <si>
    <t>⚠  SS WAGE BASE MONITOR (2026: $176,100):  No employee has reached the SS wage base YTD through May 31. Highest earner (E-1015 White) YTD gross ~$56,000. Monitor monthly — VP-level employees may approach base by Q4.</t>
  </si>
  <si>
    <t>TAX WITHHOLDING REFERENCE  |  IRS Pub 15-T (2024)  |  ⚠ Verify against IRS Pub 15-T release for Tax Year 2026</t>
  </si>
  <si>
    <t>Percentage Method Tables for Automated Payroll Systems — Annual Payroll Period  |  Use: Annualize bi-weekly gross (×26), look up bracket, compute annual tax, divide by 26</t>
  </si>
  <si>
    <t>TABLE 1 — MARRIED FILING JOINTLY (MFJ)</t>
  </si>
  <si>
    <t>Bracket</t>
  </si>
  <si>
    <t>Annual Wages Over</t>
  </si>
  <si>
    <t>Annual Wages Not Over</t>
  </si>
  <si>
    <t>Base W/H Amount</t>
  </si>
  <si>
    <t>Marginal Rate</t>
  </si>
  <si>
    <t>Example (Gross/pd)</t>
  </si>
  <si>
    <t>Example W/H per pd</t>
  </si>
  <si>
    <t>Bracket 1</t>
  </si>
  <si>
    <t>Bracket 2</t>
  </si>
  <si>
    <t>Bracket 3</t>
  </si>
  <si>
    <t>Bracket 4</t>
  </si>
  <si>
    <t>Bracket 5</t>
  </si>
  <si>
    <t>Bracket 6</t>
  </si>
  <si>
    <t>Bracket 7</t>
  </si>
  <si>
    <t>No Limit</t>
  </si>
  <si>
    <t>TABLE 2 — SINGLE / MARRIED FILING SEPARATELY / HEAD OF HOUSEHOLD (use Single table for HOH)</t>
  </si>
  <si>
    <t>TABLE 3 — FICA &amp; GEORGIA STATE TAX RATES (2026)</t>
  </si>
  <si>
    <t>Tax</t>
  </si>
  <si>
    <t>EE Rate</t>
  </si>
  <si>
    <t>ER Rate</t>
  </si>
  <si>
    <t>Annual Wage Base</t>
  </si>
  <si>
    <t>Notes</t>
  </si>
  <si>
    <t>Social Security (OASDI)</t>
  </si>
  <si>
    <t>6.20%</t>
  </si>
  <si>
    <t>$176,100</t>
  </si>
  <si>
    <t>Max EE + ER each: $10,918.20 (2026)</t>
  </si>
  <si>
    <t>Medicare (HI)</t>
  </si>
  <si>
    <t>1.45%</t>
  </si>
  <si>
    <t>Additional EE 0.9% on wages over $200K</t>
  </si>
  <si>
    <t>Additional Medicare</t>
  </si>
  <si>
    <t>0.90%</t>
  </si>
  <si>
    <t>N/A</t>
  </si>
  <si>
    <t>Over $200K</t>
  </si>
  <si>
    <t>Employee only — NOT matched by employer</t>
  </si>
  <si>
    <t>FUTA (Federal Unemp.)</t>
  </si>
  <si>
    <t>6.00%</t>
  </si>
  <si>
    <t>$7,000</t>
  </si>
  <si>
    <t>Net rate 0.6% with full state SUTA credit</t>
  </si>
  <si>
    <t>GA SUTA (State Unemp.)</t>
  </si>
  <si>
    <t>2.70%</t>
  </si>
  <si>
    <t>$9,500</t>
  </si>
  <si>
    <t>New employer rate — experienced employers vary</t>
  </si>
  <si>
    <t>Georgia Income Tax</t>
  </si>
  <si>
    <t>5.49%</t>
  </si>
  <si>
    <t>Flat rate effective Jan 1, 2024 — no brackets</t>
  </si>
  <si>
    <t>BENEFITS &amp; DEDUCTIONS SCHEDULE  |  Summit HR Solutions  |  Plan Year 2026</t>
  </si>
  <si>
    <t>Pre-tax deductions reduce federal/state taxable wages. Post-tax: Voluntary Life, Roth 401(k) if elected.</t>
  </si>
  <si>
    <t>Plan Code</t>
  </si>
  <si>
    <t>Plan Name</t>
  </si>
  <si>
    <t>Carrier</t>
  </si>
  <si>
    <t>Coverage</t>
  </si>
  <si>
    <t>Annual Premium</t>
  </si>
  <si>
    <t>EE Annual</t>
  </si>
  <si>
    <t>ER Annual</t>
  </si>
  <si>
    <t>EE / Pay Period</t>
  </si>
  <si>
    <t>ER / Pay Period</t>
  </si>
  <si>
    <t>Pre-Tax?</t>
  </si>
  <si>
    <t>Plan Type</t>
  </si>
  <si>
    <t>2026 IRS Limit</t>
  </si>
  <si>
    <t>MED-EO</t>
  </si>
  <si>
    <t>Medical — Ee Only</t>
  </si>
  <si>
    <t>BCBS GA</t>
  </si>
  <si>
    <t>Employee</t>
  </si>
  <si>
    <t>PPO/HSA</t>
  </si>
  <si>
    <t>MED-ES</t>
  </si>
  <si>
    <t>Medical — Ee+Spouse</t>
  </si>
  <si>
    <t>Ee+Spouse</t>
  </si>
  <si>
    <t>MED-FA</t>
  </si>
  <si>
    <t>Medical — Family</t>
  </si>
  <si>
    <t>Family</t>
  </si>
  <si>
    <t>DEN-1</t>
  </si>
  <si>
    <t>Delta Dental</t>
  </si>
  <si>
    <t>All</t>
  </si>
  <si>
    <t>PPO</t>
  </si>
  <si>
    <t>VIS-1</t>
  </si>
  <si>
    <t>VSP</t>
  </si>
  <si>
    <t>LIFE-B</t>
  </si>
  <si>
    <t>Basic Life Ins</t>
  </si>
  <si>
    <t>MetLife</t>
  </si>
  <si>
    <t>1x Salary</t>
  </si>
  <si>
    <t>No</t>
  </si>
  <si>
    <t>Group Term</t>
  </si>
  <si>
    <t>LIFE-V</t>
  </si>
  <si>
    <t>Voluntary Life</t>
  </si>
  <si>
    <t>Elective</t>
  </si>
  <si>
    <t>Voluntary</t>
  </si>
  <si>
    <t>401K</t>
  </si>
  <si>
    <t>401(k) Traditional</t>
  </si>
  <si>
    <t>Fidelity</t>
  </si>
  <si>
    <t>Variable</t>
  </si>
  <si>
    <t>EE Elects</t>
  </si>
  <si>
    <t>50c/$ up to 6%</t>
  </si>
  <si>
    <t>See Register</t>
  </si>
  <si>
    <t>ERISA</t>
  </si>
  <si>
    <t>$23,500 EE / $70,000 Total</t>
  </si>
  <si>
    <t>HSA</t>
  </si>
  <si>
    <t>HSA (Medical)</t>
  </si>
  <si>
    <t>HDHP</t>
  </si>
  <si>
    <t>Sec. 223</t>
  </si>
  <si>
    <t>$4,300 single / $8,550 family</t>
  </si>
  <si>
    <t>FSA-H</t>
  </si>
  <si>
    <t>Health FSA</t>
  </si>
  <si>
    <t>WageWorks</t>
  </si>
  <si>
    <t>Sec. 125</t>
  </si>
  <si>
    <t>$3,200/year</t>
  </si>
  <si>
    <t>FSA-D</t>
  </si>
  <si>
    <t>Dep. Care FSA</t>
  </si>
  <si>
    <t>Sec. 129</t>
  </si>
  <si>
    <t>$5,000/year (married)</t>
  </si>
  <si>
    <t>DEPARTMENT PAYROLL SUMMARY  |  Current Pay Period  |  SUMIFS-Powered</t>
  </si>
  <si>
    <t>Auto-updates when Payroll Register changes. Formula: =SUMIFS(Gross Range, Dept Range, Department Name)</t>
  </si>
  <si>
    <t># Employees</t>
  </si>
  <si>
    <t>Fed W/H</t>
  </si>
  <si>
    <t>SS Tax</t>
  </si>
  <si>
    <t>Medicare</t>
  </si>
  <si>
    <t>GA Tax</t>
  </si>
  <si>
    <t>Total Tax</t>
  </si>
  <si>
    <t>Net Payroll</t>
  </si>
  <si>
    <t>GRAND TOTAL</t>
  </si>
  <si>
    <t>PAYROLL FORMULA LIBRARY  |  Summit HR Solutions  |  IRS Pub 15-T Compliant</t>
  </si>
  <si>
    <t>Formula Name</t>
  </si>
  <si>
    <t>Category</t>
  </si>
  <si>
    <t>Formula Syntax (display only — see Payroll Register for live version)</t>
  </si>
  <si>
    <t>Purpose</t>
  </si>
  <si>
    <t>Input Cells</t>
  </si>
  <si>
    <t>Output / Notes</t>
  </si>
  <si>
    <t>INDEX-MATCH Lookup</t>
  </si>
  <si>
    <t>Lookup</t>
  </si>
  <si>
    <t>INDEX(Master!B$4:B$23, MATCH(EmpID, Master!A$4:A$23, 0))</t>
  </si>
  <si>
    <t>Pull any employee attribute (name, salary, rate, filing status) by Emp ID. Replaces VLOOKUP — works in any direction.</t>
  </si>
  <si>
    <t>Employee field value from master table</t>
  </si>
  <si>
    <t>Gross Pay — Salary</t>
  </si>
  <si>
    <t>Earnings</t>
  </si>
  <si>
    <t>IF(PayType="Salary", AnnualSalary/26, HourlyRate*RegHrs)</t>
  </si>
  <si>
    <t>Bi-weekly gross: salary÷26 for exempt staff; rate×hours for non-exempt. Division by 26 = bi-weekly standard.</t>
  </si>
  <si>
    <t>Pay Type, Annual Salary, Hourly Rate, Reg Hrs</t>
  </si>
  <si>
    <t>Gross base pay per period</t>
  </si>
  <si>
    <t>OT Premium (FLSA)</t>
  </si>
  <si>
    <t>IF(PayType="Hourly", HourlyRate * OT_Hrs * 0.5, 0)</t>
  </si>
  <si>
    <t>FLSA Section 7(a) half-time premium for non-exempt hours over 40/week. Salary non-exempt uses regular rate of pay method.</t>
  </si>
  <si>
    <t>Pay Type, Rate, OT Hours</t>
  </si>
  <si>
    <t>Overtime half-time premium — add to straight-time pay</t>
  </si>
  <si>
    <t>Federal W/H — MFJ (CORRECT)</t>
  </si>
  <si>
    <t>Tax — Federal</t>
  </si>
  <si>
    <t>IF((Gross*26)&lt;=14600, (Gross*26)*0.10, IF((Gross*26)&lt;=57750, 1460+(Gross*26-14600)*0.12, ...))/26</t>
  </si>
  <si>
    <t>IRS Pub 15-T 2024 Percentage Method. ANNUALIZE gross (×26), apply MFJ bracket table, divide by 26. NOT comparing gross to annual brackets directly.</t>
  </si>
  <si>
    <t>Gross Total (bi-weekly), Filing Status = MFJ</t>
  </si>
  <si>
    <t>Federal income tax withheld per period — verified against IRS tables</t>
  </si>
  <si>
    <t>Federal W/H — Single/HOH</t>
  </si>
  <si>
    <t>IF((Gross*26)&lt;=7300, (Gross*26)*0.10, IF((Gross*26)&lt;=28875, 730+(Gross*26-7300)*0.12, ...))/26</t>
  </si>
  <si>
    <t>IRS Pub 15-T 2024 Single/MFS/HOH table. Same annualize-then-lookup method. HOH uses Single table here — add separate HOH table for full accuracy.</t>
  </si>
  <si>
    <t>Gross Total, Filing Status = Single/HOH</t>
  </si>
  <si>
    <t>Federal W/H per period</t>
  </si>
  <si>
    <t>Social Security 6.2%</t>
  </si>
  <si>
    <t>Tax — FICA</t>
  </si>
  <si>
    <t>ROUND(GrossTotal * 0.062, 2)</t>
  </si>
  <si>
    <t>Employee OASDI contribution. Must stop at $176,100 annual wage base (2026). Track via YTD Summary.</t>
  </si>
  <si>
    <t>Gross Total</t>
  </si>
  <si>
    <t>SS deduction — verify YTD against wage base</t>
  </si>
  <si>
    <t>Medicare 1.45%</t>
  </si>
  <si>
    <t>ROUND(GrossTotal * 0.0145, 2)</t>
  </si>
  <si>
    <t>Employee Medicare (HI) — no wage base limit. Add 0.9% additional on employee wages over $200K ($250K MFJ).</t>
  </si>
  <si>
    <t>Medicare withholding per period</t>
  </si>
  <si>
    <t>Georgia State Tax 5.49%</t>
  </si>
  <si>
    <t>Tax — State</t>
  </si>
  <si>
    <t>ROUND(GrossTotal * INDEX(GA_Rate_Range, MATCH(EmpID,ID_Range,0)), 2)</t>
  </si>
  <si>
    <t>Georgia flat income tax rate effective January 1, 2024. No brackets — straight percentage of gross pay.</t>
  </si>
  <si>
    <t>Gross Total, GA Rate from Employee Master</t>
  </si>
  <si>
    <t>GA state withholding per period</t>
  </si>
  <si>
    <t>401(k) Pre-Tax</t>
  </si>
  <si>
    <t>ROUND(GrossTotal * INDEX(Rate_Range, MATCH(EmpID,ID_Range,0)), 2)</t>
  </si>
  <si>
    <t>Employee-elected pre-tax 401(k) contribution. Reduces federal/state taxable wages. 2026 IRS limit: $23,500 ($31,000 age 50+).</t>
  </si>
  <si>
    <t>Gross Total, 401k Election % from Employee Master</t>
  </si>
  <si>
    <t>401k deduction per period</t>
  </si>
  <si>
    <t>SUMIFS Department</t>
  </si>
  <si>
    <t>Aggregation</t>
  </si>
  <si>
    <t>SUMIFS(GrossRange, DeptRange, "Human Resources")</t>
  </si>
  <si>
    <t>Sum payroll cost by department. Fully dynamic — updates every pay run. Extend to filter by pay type, period, etc.</t>
  </si>
  <si>
    <t>Department column (D), Gross column (M) in Payroll Register</t>
  </si>
  <si>
    <t>Department gross payroll — used in Dept Summary and Dashboard</t>
  </si>
  <si>
    <t>YTD via SUMIFS</t>
  </si>
  <si>
    <t>YTD</t>
  </si>
  <si>
    <t>SUMIFS(Prior!E$4:E$23, Prior!A$4:A$23, EmpID) + SUMIFS(Register!M$4:M$23, Register!A$4:A$23, EmpID)</t>
  </si>
  <si>
    <t>Accurate YTD: sums verified Prior YTD sheet (PP01-PP10) + current period Register. NOT a simple multiply.</t>
  </si>
  <si>
    <t>Employee ID, Prior YTD sheet, Payroll Register</t>
  </si>
  <si>
    <t>True YTD gross per employee</t>
  </si>
  <si>
    <t>SS Wage Base Stop</t>
  </si>
  <si>
    <t>IF(YTD_Gross &gt;= 176100, 0, MIN(CurrentGross, 176100 - Prior_YTD_Gross) * 0.062)</t>
  </si>
  <si>
    <t>Stops Social Security withholding once cumulative YTD wages reach $176,100. Prevents over-withholding.</t>
  </si>
  <si>
    <t>Current YTD Gross, Prior YTD Gross, SS Wage Base</t>
  </si>
  <si>
    <t>Zero if over base; prorated in the period it's crossed</t>
  </si>
  <si>
    <t>IFERROR Guard</t>
  </si>
  <si>
    <t>Error Handling</t>
  </si>
  <si>
    <t>IFERROR(INDEX(...), 0)</t>
  </si>
  <si>
    <t>Wraps all lookup formulas. Returns 0 if employee ID not found. Prevents error cascade across payroll row.</t>
  </si>
  <si>
    <t>Any formula susceptible to lookup errors</t>
  </si>
  <si>
    <t>Clean zero output — keeps totals accurate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</si>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</sst>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0"/>
    <numFmt numFmtId="167" formatCode="mm/dd/yyyy"/>
  </numFmts>
  <fonts count="86" x14ac:knownFonts="1">
    <font>
      <sz val="11"/>
      <color theme="1"/>
      <name val="Calibri"/>
      <family val="2"/>
      <charset val="1"/>
    </font>
    <font>
      <b/>
      <sz val="32"/>
      <color rgb="FF0D1B2A"/>
      <name val="Calibri"/>
      <charset val="1"/>
    </font>
    <font>
      <i/>
      <sz val="13"/>
      <color rgb="FFD4AF37"/>
      <name val="Calibri"/>
      <charset val="1"/>
    </font>
    <font>
      <b/>
      <sz val="10"/>
      <color rgb="FFD4AF37"/>
      <name val="Calibri"/>
      <charset val="1"/>
    </font>
    <font>
      <b/>
      <sz val="26"/>
      <color rgb="FF0D1B2A"/>
      <name val="Calibri"/>
      <charset val="1"/>
    </font>
    <font>
      <i/>
      <sz val="11"/>
      <color rgb="FF2C3E50"/>
      <name val="Calibri"/>
      <charset val="1"/>
    </font>
    <font>
      <b/>
      <sz val="8"/>
      <color rgb="FFFFFFFF"/>
      <name val="Calibri"/>
      <charset val="1"/>
    </font>
    <font>
      <sz val="10"/>
      <color rgb="FF0D1B2A"/>
      <name val="Calibri"/>
      <charset val="1"/>
    </font>
    <font>
      <b/>
      <sz val="9"/>
      <color rgb="FFD4AF37"/>
      <name val="Calibri"/>
      <charset val="1"/>
    </font>
    <font>
      <sz val="11"/>
      <color rgb="FFFFFFFF"/>
      <name val="Calibri"/>
      <charset val="1"/>
    </font>
    <font>
      <i/>
      <sz val="10"/>
      <color rgb="FFFFF5DC"/>
      <name val="Calibri"/>
      <charset val="1"/>
    </font>
    <font>
      <i/>
      <sz val="8"/>
      <color rgb="FFAAAAAA"/>
      <name val="Calibri"/>
      <charset val="1"/>
    </font>
    <font>
      <b/>
      <sz val="15"/>
      <color rgb="FFFFFFFF"/>
      <name val="Calibri"/>
      <charset val="1"/>
    </font>
    <font>
      <i/>
      <sz val="10"/>
      <color rgb="FFD4AF37"/>
      <name val="Calibri"/>
      <charset val="1"/>
    </font>
    <font>
      <b/>
      <sz val="28"/>
      <color rgb="FFC00000"/>
      <name val="Calibri"/>
      <charset val="1"/>
    </font>
    <font>
      <b/>
      <sz val="28"/>
      <color rgb="FF1F4E79"/>
      <name val="Calibri"/>
      <charset val="1"/>
    </font>
    <font>
      <b/>
      <sz val="28"/>
      <color rgb="FF1A5632"/>
      <name val="Calibri"/>
      <charset val="1"/>
    </font>
    <font>
      <b/>
      <sz val="28"/>
      <color rgb="FF806000"/>
      <name val="Calibri"/>
      <charset val="1"/>
    </font>
    <font>
      <b/>
      <sz val="10"/>
      <color rgb="FFC00000"/>
      <name val="Calibri"/>
      <charset val="1"/>
    </font>
    <font>
      <b/>
      <sz val="10"/>
      <color rgb="FF1F4E79"/>
      <name val="Calibri"/>
      <charset val="1"/>
    </font>
    <font>
      <b/>
      <sz val="10"/>
      <color rgb="FF1A5632"/>
      <name val="Calibri"/>
      <charset val="1"/>
    </font>
    <font>
      <b/>
      <sz val="10"/>
      <color rgb="FF806000"/>
      <name val="Calibri"/>
      <charset val="1"/>
    </font>
    <font>
      <b/>
      <sz val="12"/>
      <color rgb="FFFFFFFF"/>
      <name val="Calibri"/>
      <charset val="1"/>
    </font>
    <font>
      <b/>
      <sz val="10"/>
      <color rgb="FF7B4F00"/>
      <name val="Calibri"/>
      <charset val="1"/>
    </font>
    <font>
      <sz val="10"/>
      <color rgb="FF5C4000"/>
      <name val="Calibri"/>
      <charset val="1"/>
    </font>
    <font>
      <sz val="10"/>
      <color rgb="FF1A5632"/>
      <name val="Calibri"/>
      <charset val="1"/>
    </font>
    <font>
      <b/>
      <sz val="11"/>
      <color rgb="FFFFFFFF"/>
      <name val="Calibri"/>
      <charset val="1"/>
    </font>
    <font>
      <b/>
      <sz val="9"/>
      <color rgb="FFFFFFFF"/>
      <name val="Calibri"/>
      <charset val="1"/>
    </font>
    <font>
      <i/>
      <sz val="8"/>
      <color rgb="FF888888"/>
      <name val="Calibri"/>
      <charset val="1"/>
    </font>
    <font>
      <i/>
      <sz val="9"/>
      <color rgb="FFD4AF37"/>
      <name val="Calibri"/>
      <charset val="1"/>
    </font>
    <font>
      <b/>
      <sz val="11"/>
      <color rgb="FFC00000"/>
      <name val="Calibri"/>
      <charset val="1"/>
    </font>
    <font>
      <b/>
      <sz val="11"/>
      <color rgb="FF7B4F00"/>
      <name val="Calibri"/>
      <charset val="1"/>
    </font>
    <font>
      <b/>
      <sz val="11"/>
      <color rgb="FF1A5632"/>
      <name val="Calibri"/>
      <charset val="1"/>
    </font>
    <font>
      <b/>
      <sz val="14"/>
      <color rgb="FFFFFFFF"/>
      <name val="Calibri"/>
      <charset val="1"/>
    </font>
    <font>
      <b/>
      <sz val="10"/>
      <color rgb="FF0D1B2A"/>
      <name val="Calibri"/>
      <charset val="1"/>
    </font>
    <font>
      <b/>
      <sz val="10"/>
      <color rgb="FFFFFFFF"/>
      <name val="Calibri"/>
      <charset val="1"/>
    </font>
    <font>
      <b/>
      <sz val="12"/>
      <color rgb="FF2E75B6"/>
      <name val="Calibri"/>
      <charset val="1"/>
    </font>
    <font>
      <b/>
      <sz val="18"/>
      <color rgb="FF2E75B6"/>
      <name val="Calibri"/>
      <charset val="1"/>
    </font>
    <font>
      <b/>
      <sz val="12"/>
      <color rgb="FFC00000"/>
      <name val="Calibri"/>
      <charset val="1"/>
    </font>
    <font>
      <b/>
      <sz val="18"/>
      <color rgb="FFC00000"/>
      <name val="Calibri"/>
      <charset val="1"/>
    </font>
    <font>
      <b/>
      <sz val="12"/>
      <color rgb="FF1A5632"/>
      <name val="Calibri"/>
      <charset val="1"/>
    </font>
    <font>
      <b/>
      <sz val="18"/>
      <color rgb="FF1A5632"/>
      <name val="Calibri"/>
      <charset val="1"/>
    </font>
    <font>
      <b/>
      <sz val="12"/>
      <color rgb="FF4B0082"/>
      <name val="Calibri"/>
      <charset val="1"/>
    </font>
    <font>
      <b/>
      <sz val="18"/>
      <color rgb="FF4B0082"/>
      <name val="Calibri"/>
      <charset val="1"/>
    </font>
    <font>
      <b/>
      <sz val="12"/>
      <color rgb="FF0E6655"/>
      <name val="Calibri"/>
      <charset val="1"/>
    </font>
    <font>
      <b/>
      <sz val="18"/>
      <color rgb="FF0E6655"/>
      <name val="Calibri"/>
      <charset val="1"/>
    </font>
    <font>
      <b/>
      <sz val="12"/>
      <color rgb="FFF4B942"/>
      <name val="Calibri"/>
      <charset val="1"/>
    </font>
    <font>
      <b/>
      <sz val="18"/>
      <color rgb="FFF4B942"/>
      <name val="Calibri"/>
      <charset val="1"/>
    </font>
    <font>
      <b/>
      <sz val="12"/>
      <color rgb="FF2C3E50"/>
      <name val="Calibri"/>
      <charset val="1"/>
    </font>
    <font>
      <b/>
      <sz val="18"/>
      <color rgb="FF2C3E50"/>
      <name val="Calibri"/>
      <charset val="1"/>
    </font>
    <font>
      <b/>
      <sz val="12"/>
      <color rgb="FF806000"/>
      <name val="Calibri"/>
      <charset val="1"/>
    </font>
    <font>
      <b/>
      <sz val="18"/>
      <color rgb="FF806000"/>
      <name val="Calibri"/>
      <charset val="1"/>
    </font>
    <font>
      <b/>
      <sz val="10"/>
      <color rgb="FF2E75B6"/>
      <name val="Calibri"/>
      <charset val="1"/>
    </font>
    <font>
      <sz val="8"/>
      <color rgb="FF0D1B2A"/>
      <name val="Courier New"/>
      <charset val="1"/>
    </font>
    <font>
      <b/>
      <sz val="10"/>
      <color rgb="FF9B2C2C"/>
      <name val="Calibri"/>
      <charset val="1"/>
    </font>
    <font>
      <b/>
      <sz val="10"/>
      <color rgb="FF0E6655"/>
      <name val="Calibri"/>
      <charset val="1"/>
    </font>
    <font>
      <b/>
      <sz val="10"/>
      <color rgb="FFF4B942"/>
      <name val="Calibri"/>
      <charset val="1"/>
    </font>
    <font>
      <b/>
      <sz val="10"/>
      <color rgb="FF4B0082"/>
      <name val="Calibri"/>
      <charset val="1"/>
    </font>
    <font>
      <b/>
      <sz val="10"/>
      <color rgb="FF2C3E50"/>
      <name val="Calibri"/>
      <charset val="1"/>
    </font>
    <font>
      <b/>
      <sz val="17"/>
      <color rgb="FFFFFFFF"/>
      <name val="Calibri"/>
      <charset val="1"/>
    </font>
    <font>
      <i/>
      <sz val="9"/>
      <color rgb="FFAAAAAA"/>
      <name val="Calibri"/>
      <charset val="1"/>
    </font>
    <font>
      <b/>
      <sz val="18"/>
      <color rgb="FF70AD47"/>
      <name val="Calibri"/>
      <charset val="1"/>
    </font>
    <font>
      <b/>
      <sz val="18"/>
      <color rgb="FF9B59B6"/>
      <name val="Calibri"/>
      <charset val="1"/>
    </font>
    <font>
      <b/>
      <sz val="18"/>
      <color rgb="FF1F4E79"/>
      <name val="Calibri"/>
      <charset val="1"/>
    </font>
    <font>
      <sz val="10"/>
      <color rgb="FF000000"/>
      <name val="Calibri"/>
      <charset val="1"/>
    </font>
    <font>
      <i/>
      <sz val="9"/>
      <color rgb="FF888888"/>
      <name val="Calibri"/>
      <charset val="1"/>
    </font>
    <font>
      <b/>
      <sz val="9"/>
      <color rgb="FF1A5632"/>
      <name val="Calibri"/>
      <charset val="1"/>
    </font>
    <font>
      <b/>
      <sz val="9"/>
      <color rgb="FF2E75B6"/>
      <name val="Calibri"/>
      <charset val="1"/>
    </font>
    <font>
      <b/>
      <sz val="9"/>
      <color rgb="FF4B0082"/>
      <name val="Calibri"/>
      <charset val="1"/>
    </font>
    <font>
      <b/>
      <sz val="9"/>
      <color rgb="FF2C3E50"/>
      <name val="Calibri"/>
      <charset val="1"/>
    </font>
    <font>
      <b/>
      <sz val="9"/>
      <color rgb="FF0E6655"/>
      <name val="Calibri"/>
      <charset val="1"/>
    </font>
    <font>
      <b/>
      <sz val="9"/>
      <color rgb="FFF4B942"/>
      <name val="Calibri"/>
      <charset val="1"/>
    </font>
    <font>
      <b/>
      <sz val="9"/>
      <color rgb="FFC00000"/>
      <name val="Calibri"/>
      <charset val="1"/>
    </font>
    <font>
      <b/>
      <sz val="9"/>
      <color rgb="FF806000"/>
      <name val="Calibri"/>
      <charset val="1"/>
    </font>
    <font>
      <sz val="9"/>
      <color rgb="FF000000"/>
      <name val="Calibri"/>
      <charset val="1"/>
    </font>
    <font>
      <sz val="9"/>
      <color rgb="FF0E6655"/>
      <name val="Calibri"/>
      <charset val="1"/>
    </font>
    <font>
      <sz val="9"/>
      <color rgb="FFF4B942"/>
      <name val="Calibri"/>
      <charset val="1"/>
    </font>
    <font>
      <sz val="9"/>
      <color rgb="FF806000"/>
      <name val="Calibri"/>
      <charset val="1"/>
    </font>
    <font>
      <b/>
      <sz val="11"/>
      <color rgb="FF2E75B6"/>
      <name val="Calibri"/>
      <charset val="1"/>
    </font>
    <font>
      <b/>
      <sz val="11"/>
      <color rgb="FF2C3E50"/>
      <name val="Calibri"/>
      <charset val="1"/>
    </font>
    <font>
      <b/>
      <sz val="11"/>
      <color rgb="FF0E6655"/>
      <name val="Calibri"/>
      <charset val="1"/>
    </font>
    <font>
      <b/>
      <sz val="11"/>
      <color rgb="FFF4B942"/>
      <name val="Calibri"/>
      <charset val="1"/>
    </font>
    <font>
      <b/>
      <sz val="11"/>
      <color rgb="FF806000"/>
      <name val="Calibri"/>
      <charset val="1"/>
    </font>
    <font>
      <i/>
      <sz val="9"/>
      <color rgb="FF444444"/>
      <name val="Calibri"/>
      <charset val="1"/>
    </font>
    <font>
      <b/>
      <sz val="10"/>
      <color rgb="FF000000"/>
      <name val="Calibri"/>
      <charset val="1"/>
    </font>
    <font>
      <b/>
      <sz val="13"/>
      <color rgb="FFFFFFFF"/>
      <name val="Calibri"/>
      <charset val="1"/>
    </font>
  </fonts>
  <fills count="25">
    <fill>
      <patternFill patternType="none"/>
    </fill>
    <fill>
      <patternFill patternType="gray125"/>
    </fill>
    <fill>
      <patternFill patternType="solid">
        <fgColor rgb="FF0D1B2A"/>
        <bgColor rgb="FF1B2A3B"/>
      </patternFill>
    </fill>
    <fill>
      <patternFill patternType="solid">
        <fgColor rgb="FFD4AF37"/>
        <bgColor rgb="FFF4B942"/>
      </patternFill>
    </fill>
    <fill>
      <patternFill patternType="solid">
        <fgColor rgb="FFFDFAF3"/>
        <bgColor rgb="FFFFFFFF"/>
      </patternFill>
    </fill>
    <fill>
      <patternFill patternType="solid">
        <fgColor rgb="FF1F4E79"/>
        <bgColor rgb="FF2C3E50"/>
      </patternFill>
    </fill>
    <fill>
      <patternFill patternType="solid">
        <fgColor rgb="FFDEEAF1"/>
        <bgColor rgb="FFD0ECE7"/>
      </patternFill>
    </fill>
    <fill>
      <patternFill patternType="solid">
        <fgColor rgb="FF1B2A3B"/>
        <bgColor rgb="FF0D1B2A"/>
      </patternFill>
    </fill>
    <fill>
      <patternFill patternType="solid">
        <fgColor rgb="FFFCE4D6"/>
        <bgColor rgb="FFFDE9CE"/>
      </patternFill>
    </fill>
    <fill>
      <patternFill patternType="solid">
        <fgColor rgb="FFE2EFDA"/>
        <bgColor rgb="FFDEEAF1"/>
      </patternFill>
    </fill>
    <fill>
      <patternFill patternType="solid">
        <fgColor rgb="FFFFF2CC"/>
        <bgColor rgb="FFFFF5DC"/>
      </patternFill>
    </fill>
    <fill>
      <patternFill patternType="solid">
        <fgColor rgb="FFC00000"/>
        <bgColor rgb="FF800000"/>
      </patternFill>
    </fill>
    <fill>
      <patternFill patternType="solid">
        <fgColor rgb="FFF2F2F2"/>
        <bgColor rgb="FFFDFAF3"/>
      </patternFill>
    </fill>
    <fill>
      <patternFill patternType="solid">
        <fgColor rgb="FFEDE0F5"/>
        <bgColor rgb="FFDEEAF1"/>
      </patternFill>
    </fill>
    <fill>
      <patternFill patternType="solid">
        <fgColor rgb="FFD0ECE7"/>
        <bgColor rgb="FFDEEAF1"/>
      </patternFill>
    </fill>
    <fill>
      <patternFill patternType="solid">
        <fgColor rgb="FFFDE9CE"/>
        <bgColor rgb="FFFCE4D6"/>
      </patternFill>
    </fill>
    <fill>
      <patternFill patternType="solid">
        <fgColor rgb="FF1A5632"/>
        <bgColor rgb="FF375623"/>
      </patternFill>
    </fill>
    <fill>
      <patternFill patternType="solid">
        <fgColor rgb="FF2C3E50"/>
        <bgColor rgb="FF444444"/>
      </patternFill>
    </fill>
    <fill>
      <patternFill patternType="solid">
        <fgColor rgb="FF2E75B6"/>
        <bgColor rgb="FF1F4E79"/>
      </patternFill>
    </fill>
    <fill>
      <patternFill patternType="solid">
        <fgColor rgb="FF70AD47"/>
        <bgColor rgb="FF95A5A6"/>
      </patternFill>
    </fill>
    <fill>
      <patternFill patternType="solid">
        <fgColor rgb="FFF4B942"/>
        <bgColor rgb="FFD4AF37"/>
      </patternFill>
    </fill>
    <fill>
      <patternFill patternType="solid">
        <fgColor rgb="FF9B59B6"/>
        <bgColor rgb="FF888888"/>
      </patternFill>
    </fill>
    <fill>
      <patternFill patternType="solid">
        <fgColor rgb="FFFFFFFF"/>
        <bgColor rgb="FFFDFAF3"/>
      </patternFill>
    </fill>
    <fill>
      <patternFill patternType="solid">
        <fgColor rgb="FF0E6655"/>
        <bgColor rgb="FF1A5632"/>
      </patternFill>
    </fill>
    <fill>
      <patternFill patternType="solid">
        <fgColor rgb="FF806000"/>
        <bgColor rgb="FF7B4F00"/>
      </patternFill>
    </fill>
  </fills>
  <borders count="18">
    <border>
      <left/>
      <right/>
      <top/>
      <bottom/>
      <diagonal/>
    </border>
    <border>
      <left style="thin">
        <color rgb="FF2E75B6"/>
      </left>
      <right/>
      <top style="thin">
        <color rgb="FF2E75B6"/>
      </top>
      <bottom style="thin">
        <color rgb="FF2E75B6"/>
      </bottom>
      <diagonal/>
    </border>
    <border>
      <left style="thin">
        <color rgb="FFD6D6D6"/>
      </left>
      <right/>
      <top style="thin">
        <color rgb="FFD6D6D6"/>
      </top>
      <bottom style="thin">
        <color rgb="FFD6D6D6"/>
      </bottom>
      <diagonal/>
    </border>
    <border>
      <left style="thin">
        <color rgb="FFFFAAAA"/>
      </left>
      <right/>
      <top style="thin">
        <color rgb="FFFFAAAA"/>
      </top>
      <bottom style="thin">
        <color rgb="FFFFAAAA"/>
      </bottom>
      <diagonal/>
    </border>
    <border>
      <left style="thin">
        <color rgb="FFFFD966"/>
      </left>
      <right/>
      <top style="thin">
        <color rgb="FFFFD966"/>
      </top>
      <bottom style="thin">
        <color rgb="FFFFD966"/>
      </bottom>
      <diagonal/>
    </border>
    <border>
      <left style="thin">
        <color rgb="FF70AD47"/>
      </left>
      <right/>
      <top style="thin">
        <color rgb="FF70AD47"/>
      </top>
      <bottom style="thin">
        <color rgb="FF70AD47"/>
      </bottom>
      <diagonal/>
    </border>
    <border>
      <left style="thin">
        <color rgb="FFD6D6D6"/>
      </left>
      <right style="thin">
        <color rgb="FFD6D6D6"/>
      </right>
      <top style="thin">
        <color rgb="FFD6D6D6"/>
      </top>
      <bottom style="thin">
        <color rgb="FFD6D6D6"/>
      </bottom>
      <diagonal/>
    </border>
    <border>
      <left style="thin">
        <color rgb="FFFFAAAA"/>
      </left>
      <right style="thin">
        <color rgb="FFFFAAAA"/>
      </right>
      <top style="thin">
        <color rgb="FFFFAAAA"/>
      </top>
      <bottom style="thin">
        <color rgb="FFFFAAAA"/>
      </bottom>
      <diagonal/>
    </border>
    <border>
      <left style="thin">
        <color rgb="FFFFD966"/>
      </left>
      <right style="thin">
        <color rgb="FFFFD966"/>
      </right>
      <top style="thin">
        <color rgb="FFFFD966"/>
      </top>
      <bottom style="thin">
        <color rgb="FFFFD966"/>
      </bottom>
      <diagonal/>
    </border>
    <border>
      <left style="thin">
        <color rgb="FF70AD47"/>
      </left>
      <right style="thin">
        <color rgb="FF70AD47"/>
      </right>
      <top style="thin">
        <color rgb="FF70AD47"/>
      </top>
      <bottom style="thin">
        <color rgb="FF70AD47"/>
      </bottom>
      <diagonal/>
    </border>
    <border>
      <left style="thin">
        <color rgb="FF2E75B6"/>
      </left>
      <right style="thin">
        <color rgb="FF2E75B6"/>
      </right>
      <top style="thin">
        <color rgb="FF2E75B6"/>
      </top>
      <bottom style="thin">
        <color rgb="FF2E75B6"/>
      </bottom>
      <diagonal/>
    </border>
    <border>
      <left/>
      <right style="thin">
        <color rgb="FF2E75B6"/>
      </right>
      <top/>
      <bottom style="thin">
        <color rgb="FF2E75B6"/>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4B942"/>
      </left>
      <right/>
      <top style="thin">
        <color rgb="FFF4B942"/>
      </top>
      <bottom style="thin">
        <color rgb="FFF4B942"/>
      </bottom>
      <diagonal/>
    </border>
    <border>
      <left style="thin">
        <color rgb="FF9B59B6"/>
      </left>
      <right/>
      <top style="thin">
        <color rgb="FF9B59B6"/>
      </top>
      <bottom style="thin">
        <color rgb="FF9B59B6"/>
      </bottom>
      <diagonal/>
    </border>
    <border>
      <left style="thin">
        <color rgb="FF1F4E79"/>
      </left>
      <right style="thin">
        <color rgb="FF1F4E79"/>
      </right>
      <top style="thin">
        <color rgb="FF1F4E79"/>
      </top>
      <bottom style="thin">
        <color rgb="FF1F4E79"/>
      </bottom>
      <diagonal/>
    </border>
    <border>
      <left style="thin">
        <color rgb="FFC00000"/>
      </left>
      <right/>
      <top style="thin">
        <color rgb="FFC00000"/>
      </top>
      <bottom style="thin">
        <color rgb="FFC00000"/>
      </bottom>
      <diagonal/>
    </border>
  </borders>
  <cellStyleXfs count="1">
    <xf numFmtId="0" fontId="0" fillId="0" borderId="0"/>
  </cellStyleXfs>
  <cellXfs count="222">
    <xf numFmtId="0" fontId="0" fillId="0" borderId="0" xfId="0"/>
    <xf numFmtId="0" fontId="11" fillId="2" borderId="0" xfId="0" applyFont="1" applyFill="1" applyBorder="1" applyAlignment="1">
      <alignment horizontal="center" vertical="center" wrapText="1"/>
    </xf>
    <xf numFmtId="0" fontId="10" fillId="2" borderId="0" xfId="0" applyFont="1" applyFill="1" applyBorder="1" applyAlignment="1">
      <alignment horizontal="center" vertical="center" wrapText="1"/>
    </xf>
    <xf numFmtId="0" fontId="9" fillId="2"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6" fillId="5" borderId="1" xfId="0" applyFont="1" applyFill="1" applyBorder="1" applyAlignment="1">
      <alignment horizontal="left" vertical="center" wrapText="1"/>
    </xf>
    <xf numFmtId="0" fontId="5" fillId="4" borderId="0"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0" fillId="4" borderId="0" xfId="0" applyFill="1" applyBorder="1" applyAlignment="1"/>
    <xf numFmtId="0" fontId="2" fillId="4" borderId="0" xfId="0" applyFont="1" applyFill="1" applyBorder="1" applyAlignment="1">
      <alignment horizontal="center" vertical="center" wrapText="1"/>
    </xf>
    <xf numFmtId="0" fontId="1" fillId="4" borderId="0" xfId="0" applyFont="1" applyFill="1" applyBorder="1" applyAlignment="1">
      <alignment horizontal="center"/>
    </xf>
    <xf numFmtId="0" fontId="0" fillId="3" borderId="0" xfId="0" applyFill="1" applyBorder="1" applyAlignment="1"/>
    <xf numFmtId="0" fontId="0" fillId="2" borderId="0" xfId="0" applyFill="1" applyBorder="1" applyAlignment="1"/>
    <xf numFmtId="0" fontId="0" fillId="0" borderId="0" xfId="0" applyAlignment="1"/>
    <xf numFmtId="0" fontId="0" fillId="4" borderId="0" xfId="0" applyFill="1" applyAlignment="1"/>
    <xf numFmtId="0" fontId="0" fillId="8" borderId="0" xfId="0" applyFill="1" applyAlignment="1"/>
    <xf numFmtId="0" fontId="0" fillId="9" borderId="0" xfId="0" applyFill="1" applyAlignment="1"/>
    <xf numFmtId="0" fontId="0" fillId="6" borderId="0" xfId="0" applyFill="1" applyAlignment="1"/>
    <xf numFmtId="0" fontId="30" fillId="8" borderId="6" xfId="0" applyFont="1" applyFill="1" applyBorder="1" applyAlignment="1">
      <alignment horizontal="center" vertical="center" wrapText="1"/>
    </xf>
    <xf numFmtId="0" fontId="31" fillId="10" borderId="6" xfId="0" applyFont="1" applyFill="1" applyBorder="1" applyAlignment="1">
      <alignment horizontal="center" vertical="center" wrapText="1"/>
    </xf>
    <xf numFmtId="0" fontId="32" fillId="9" borderId="6" xfId="0" applyFont="1" applyFill="1" applyBorder="1" applyAlignment="1">
      <alignment horizontal="center" vertical="center" wrapText="1"/>
    </xf>
    <xf numFmtId="0" fontId="7" fillId="8" borderId="7" xfId="0" applyFont="1" applyFill="1" applyBorder="1" applyAlignment="1">
      <alignment horizontal="left" vertical="center" wrapText="1"/>
    </xf>
    <xf numFmtId="0" fontId="18" fillId="8" borderId="7" xfId="0" applyFont="1" applyFill="1" applyBorder="1" applyAlignment="1">
      <alignment horizontal="left" vertical="center" wrapText="1"/>
    </xf>
    <xf numFmtId="0" fontId="24" fillId="10" borderId="8" xfId="0" applyFont="1" applyFill="1" applyBorder="1" applyAlignment="1">
      <alignment horizontal="left" vertical="center" wrapText="1"/>
    </xf>
    <xf numFmtId="0" fontId="25" fillId="9" borderId="9" xfId="0" applyFont="1" applyFill="1" applyBorder="1" applyAlignment="1">
      <alignment horizontal="left" vertical="center" wrapText="1"/>
    </xf>
    <xf numFmtId="0" fontId="35" fillId="5" borderId="10" xfId="0" applyFont="1" applyFill="1" applyBorder="1" applyAlignment="1">
      <alignment horizontal="center" vertical="center" wrapText="1"/>
    </xf>
    <xf numFmtId="0" fontId="36" fillId="6" borderId="6" xfId="0" applyFont="1" applyFill="1" applyBorder="1" applyAlignment="1">
      <alignment horizontal="center" vertical="center" wrapText="1"/>
    </xf>
    <xf numFmtId="0" fontId="37" fillId="6" borderId="6" xfId="0" applyFont="1" applyFill="1" applyBorder="1" applyAlignment="1">
      <alignment horizontal="center" vertical="center" wrapText="1"/>
    </xf>
    <xf numFmtId="0" fontId="38" fillId="8" borderId="6" xfId="0" applyFont="1" applyFill="1" applyBorder="1" applyAlignment="1">
      <alignment horizontal="center" vertical="center" wrapText="1"/>
    </xf>
    <xf numFmtId="0" fontId="39" fillId="8" borderId="6" xfId="0" applyFont="1" applyFill="1" applyBorder="1" applyAlignment="1">
      <alignment horizontal="center" vertical="center" wrapText="1"/>
    </xf>
    <xf numFmtId="0" fontId="40" fillId="9" borderId="6" xfId="0" applyFont="1" applyFill="1" applyBorder="1" applyAlignment="1">
      <alignment horizontal="center" vertical="center" wrapText="1"/>
    </xf>
    <xf numFmtId="0" fontId="41" fillId="9" borderId="6" xfId="0" applyFont="1" applyFill="1" applyBorder="1" applyAlignment="1">
      <alignment horizontal="center" vertical="center" wrapText="1"/>
    </xf>
    <xf numFmtId="0" fontId="0" fillId="13" borderId="0" xfId="0" applyFill="1" applyAlignment="1"/>
    <xf numFmtId="0" fontId="42" fillId="13" borderId="6" xfId="0" applyFont="1" applyFill="1" applyBorder="1" applyAlignment="1">
      <alignment horizontal="center" vertical="center" wrapText="1"/>
    </xf>
    <xf numFmtId="0" fontId="43" fillId="13" borderId="6" xfId="0" applyFont="1" applyFill="1" applyBorder="1" applyAlignment="1">
      <alignment horizontal="center" vertical="center" wrapText="1"/>
    </xf>
    <xf numFmtId="0" fontId="0" fillId="14" borderId="0" xfId="0" applyFill="1" applyAlignment="1"/>
    <xf numFmtId="0" fontId="44" fillId="14" borderId="6" xfId="0" applyFont="1" applyFill="1" applyBorder="1" applyAlignment="1">
      <alignment horizontal="center" vertical="center" wrapText="1"/>
    </xf>
    <xf numFmtId="0" fontId="45" fillId="14" borderId="6" xfId="0" applyFont="1" applyFill="1" applyBorder="1" applyAlignment="1">
      <alignment horizontal="center" vertical="center" wrapText="1"/>
    </xf>
    <xf numFmtId="0" fontId="0" fillId="15" borderId="0" xfId="0" applyFill="1" applyAlignment="1"/>
    <xf numFmtId="0" fontId="46" fillId="15" borderId="6" xfId="0" applyFont="1" applyFill="1" applyBorder="1" applyAlignment="1">
      <alignment horizontal="center" vertical="center" wrapText="1"/>
    </xf>
    <xf numFmtId="0" fontId="47" fillId="15" borderId="6" xfId="0" applyFont="1" applyFill="1" applyBorder="1" applyAlignment="1">
      <alignment horizontal="center" vertical="center" wrapText="1"/>
    </xf>
    <xf numFmtId="0" fontId="0" fillId="12" borderId="0" xfId="0" applyFill="1" applyAlignment="1"/>
    <xf numFmtId="0" fontId="48" fillId="12" borderId="6" xfId="0" applyFont="1" applyFill="1" applyBorder="1" applyAlignment="1">
      <alignment horizontal="center" vertical="center" wrapText="1"/>
    </xf>
    <xf numFmtId="0" fontId="49" fillId="12" borderId="6" xfId="0" applyFont="1" applyFill="1" applyBorder="1" applyAlignment="1">
      <alignment horizontal="center" vertical="center" wrapText="1"/>
    </xf>
    <xf numFmtId="0" fontId="0" fillId="10" borderId="0" xfId="0" applyFill="1" applyAlignment="1"/>
    <xf numFmtId="0" fontId="50" fillId="10" borderId="6" xfId="0" applyFont="1" applyFill="1" applyBorder="1" applyAlignment="1">
      <alignment horizontal="center" vertical="center" wrapText="1"/>
    </xf>
    <xf numFmtId="0" fontId="51" fillId="10" borderId="6" xfId="0" applyFont="1" applyFill="1" applyBorder="1" applyAlignment="1">
      <alignment horizontal="center" vertical="center" wrapText="1"/>
    </xf>
    <xf numFmtId="0" fontId="35" fillId="16" borderId="10" xfId="0" applyFont="1" applyFill="1" applyBorder="1" applyAlignment="1">
      <alignment horizontal="center" vertical="center" wrapText="1"/>
    </xf>
    <xf numFmtId="0" fontId="35" fillId="17" borderId="10" xfId="0" applyFont="1" applyFill="1" applyBorder="1" applyAlignment="1">
      <alignment horizontal="center" vertical="center" wrapText="1"/>
    </xf>
    <xf numFmtId="0" fontId="52" fillId="6" borderId="6" xfId="0" applyFont="1" applyFill="1" applyBorder="1" applyAlignment="1">
      <alignment horizontal="center" vertical="center" wrapText="1"/>
    </xf>
    <xf numFmtId="0" fontId="40" fillId="9" borderId="9" xfId="0" applyFont="1" applyFill="1" applyBorder="1" applyAlignment="1">
      <alignment horizontal="center" vertical="center" wrapText="1"/>
    </xf>
    <xf numFmtId="0" fontId="53" fillId="6" borderId="10" xfId="0" applyFont="1" applyFill="1" applyBorder="1" applyAlignment="1">
      <alignment horizontal="left" vertical="center" wrapText="1"/>
    </xf>
    <xf numFmtId="164" fontId="40" fillId="9" borderId="9" xfId="0" applyNumberFormat="1" applyFont="1" applyFill="1" applyBorder="1" applyAlignment="1">
      <alignment horizontal="center" vertical="center" wrapText="1"/>
    </xf>
    <xf numFmtId="0" fontId="18" fillId="8" borderId="6" xfId="0" applyFont="1" applyFill="1" applyBorder="1" applyAlignment="1">
      <alignment horizontal="center" vertical="center" wrapText="1"/>
    </xf>
    <xf numFmtId="0" fontId="54" fillId="8" borderId="6" xfId="0" applyFont="1" applyFill="1" applyBorder="1" applyAlignment="1">
      <alignment horizontal="center" vertical="center" wrapText="1"/>
    </xf>
    <xf numFmtId="0" fontId="55" fillId="14" borderId="6" xfId="0" applyFont="1" applyFill="1" applyBorder="1" applyAlignment="1">
      <alignment horizontal="center" vertical="center" wrapText="1"/>
    </xf>
    <xf numFmtId="0" fontId="20" fillId="9" borderId="6" xfId="0" applyFont="1" applyFill="1" applyBorder="1" applyAlignment="1">
      <alignment horizontal="center" vertical="center" wrapText="1"/>
    </xf>
    <xf numFmtId="0" fontId="56" fillId="15" borderId="6" xfId="0" applyFont="1" applyFill="1" applyBorder="1" applyAlignment="1">
      <alignment horizontal="center" vertical="center" wrapText="1"/>
    </xf>
    <xf numFmtId="3" fontId="40" fillId="9" borderId="9" xfId="0" applyNumberFormat="1" applyFont="1" applyFill="1" applyBorder="1" applyAlignment="1">
      <alignment horizontal="center" vertical="center" wrapText="1"/>
    </xf>
    <xf numFmtId="0" fontId="57" fillId="13" borderId="6" xfId="0" applyFont="1" applyFill="1" applyBorder="1" applyAlignment="1">
      <alignment horizontal="center" vertical="center" wrapText="1"/>
    </xf>
    <xf numFmtId="0" fontId="58" fillId="12" borderId="6" xfId="0" applyFont="1" applyFill="1" applyBorder="1" applyAlignment="1">
      <alignment horizontal="center" vertical="center" wrapText="1"/>
    </xf>
    <xf numFmtId="0" fontId="27" fillId="5" borderId="13" xfId="0" applyFont="1" applyFill="1" applyBorder="1" applyAlignment="1">
      <alignment horizontal="center" vertical="center" wrapText="1"/>
    </xf>
    <xf numFmtId="3" fontId="63" fillId="6" borderId="16" xfId="0" applyNumberFormat="1" applyFont="1" applyFill="1" applyBorder="1" applyAlignment="1">
      <alignment horizontal="center" vertical="center" wrapText="1"/>
    </xf>
    <xf numFmtId="0" fontId="0" fillId="5" borderId="13" xfId="0" applyFill="1" applyBorder="1" applyAlignment="1"/>
    <xf numFmtId="0" fontId="64" fillId="12" borderId="6" xfId="0" applyFont="1" applyFill="1" applyBorder="1" applyAlignment="1">
      <alignment horizontal="left" vertical="center"/>
    </xf>
    <xf numFmtId="3" fontId="64" fillId="12" borderId="6" xfId="0" applyNumberFormat="1" applyFont="1" applyFill="1" applyBorder="1" applyAlignment="1">
      <alignment horizontal="center" vertical="center" wrapText="1"/>
    </xf>
    <xf numFmtId="164" fontId="64" fillId="12" borderId="6" xfId="0" applyNumberFormat="1" applyFont="1" applyFill="1" applyBorder="1" applyAlignment="1">
      <alignment horizontal="right" vertical="center"/>
    </xf>
    <xf numFmtId="165" fontId="64" fillId="12" borderId="6" xfId="0" applyNumberFormat="1" applyFont="1" applyFill="1" applyBorder="1" applyAlignment="1">
      <alignment horizontal="center" vertical="center" wrapText="1"/>
    </xf>
    <xf numFmtId="0" fontId="64" fillId="22" borderId="6" xfId="0" applyFont="1" applyFill="1" applyBorder="1" applyAlignment="1">
      <alignment horizontal="left" vertical="center"/>
    </xf>
    <xf numFmtId="3" fontId="64" fillId="22" borderId="6" xfId="0" applyNumberFormat="1" applyFont="1" applyFill="1" applyBorder="1" applyAlignment="1">
      <alignment horizontal="center" vertical="center" wrapText="1"/>
    </xf>
    <xf numFmtId="164" fontId="64" fillId="22" borderId="6" xfId="0" applyNumberFormat="1" applyFont="1" applyFill="1" applyBorder="1" applyAlignment="1">
      <alignment horizontal="right" vertical="center"/>
    </xf>
    <xf numFmtId="165" fontId="64" fillId="22" borderId="6" xfId="0" applyNumberFormat="1" applyFont="1" applyFill="1" applyBorder="1" applyAlignment="1">
      <alignment horizontal="center" vertical="center" wrapText="1"/>
    </xf>
    <xf numFmtId="3" fontId="35" fillId="5" borderId="10" xfId="0" applyNumberFormat="1" applyFont="1" applyFill="1" applyBorder="1" applyAlignment="1">
      <alignment horizontal="right" vertical="center"/>
    </xf>
    <xf numFmtId="164" fontId="35" fillId="5" borderId="10" xfId="0" applyNumberFormat="1" applyFont="1" applyFill="1" applyBorder="1" applyAlignment="1">
      <alignment horizontal="right" vertical="center"/>
    </xf>
    <xf numFmtId="0" fontId="27" fillId="5" borderId="10" xfId="0" applyFont="1" applyFill="1" applyBorder="1" applyAlignment="1">
      <alignment horizontal="center" vertical="center" wrapText="1"/>
    </xf>
    <xf numFmtId="0" fontId="27" fillId="18" borderId="10" xfId="0" applyFont="1" applyFill="1" applyBorder="1" applyAlignment="1">
      <alignment horizontal="center" vertical="center" wrapText="1"/>
    </xf>
    <xf numFmtId="0" fontId="27" fillId="16" borderId="10" xfId="0" applyFont="1" applyFill="1" applyBorder="1" applyAlignment="1">
      <alignment horizontal="center" vertical="center" wrapText="1"/>
    </xf>
    <xf numFmtId="0" fontId="27" fillId="17" borderId="10" xfId="0" applyFont="1" applyFill="1" applyBorder="1" applyAlignment="1">
      <alignment horizontal="center" vertical="center" wrapText="1"/>
    </xf>
    <xf numFmtId="0" fontId="27" fillId="23" borderId="10" xfId="0" applyFont="1" applyFill="1" applyBorder="1" applyAlignment="1">
      <alignment horizontal="center" vertical="center" wrapText="1"/>
    </xf>
    <xf numFmtId="0" fontId="27" fillId="20" borderId="10" xfId="0" applyFont="1" applyFill="1" applyBorder="1" applyAlignment="1">
      <alignment horizontal="center" vertical="center" wrapText="1"/>
    </xf>
    <xf numFmtId="0" fontId="27" fillId="11" borderId="10" xfId="0" applyFont="1" applyFill="1" applyBorder="1" applyAlignment="1">
      <alignment horizontal="center" vertical="center" wrapText="1"/>
    </xf>
    <xf numFmtId="0" fontId="27" fillId="24" borderId="10" xfId="0" applyFont="1" applyFill="1" applyBorder="1" applyAlignment="1">
      <alignment horizontal="center" vertical="center" wrapText="1"/>
    </xf>
    <xf numFmtId="0" fontId="74" fillId="12" borderId="6" xfId="0" applyFont="1" applyFill="1" applyBorder="1" applyAlignment="1">
      <alignment horizontal="left" vertical="center" wrapText="1"/>
    </xf>
    <xf numFmtId="164" fontId="74" fillId="12" borderId="6" xfId="0" applyNumberFormat="1" applyFont="1" applyFill="1" applyBorder="1" applyAlignment="1">
      <alignment horizontal="right" vertical="center"/>
    </xf>
    <xf numFmtId="10" fontId="75" fillId="12" borderId="6" xfId="0" applyNumberFormat="1" applyFont="1" applyFill="1" applyBorder="1" applyAlignment="1">
      <alignment horizontal="right" vertical="center"/>
    </xf>
    <xf numFmtId="166" fontId="76" fillId="12" borderId="6" xfId="0" applyNumberFormat="1" applyFont="1" applyFill="1" applyBorder="1" applyAlignment="1">
      <alignment horizontal="right" vertical="center"/>
    </xf>
    <xf numFmtId="0" fontId="74" fillId="12" borderId="6" xfId="0" applyFont="1" applyFill="1" applyBorder="1" applyAlignment="1">
      <alignment horizontal="right" vertical="center"/>
    </xf>
    <xf numFmtId="164" fontId="77" fillId="12" borderId="6" xfId="0" applyNumberFormat="1" applyFont="1" applyFill="1" applyBorder="1" applyAlignment="1">
      <alignment horizontal="right" vertical="center"/>
    </xf>
    <xf numFmtId="3" fontId="77" fillId="12" borderId="6" xfId="0" applyNumberFormat="1" applyFont="1" applyFill="1" applyBorder="1" applyAlignment="1">
      <alignment horizontal="right" vertical="center"/>
    </xf>
    <xf numFmtId="0" fontId="74" fillId="22" borderId="6" xfId="0" applyFont="1" applyFill="1" applyBorder="1" applyAlignment="1">
      <alignment horizontal="center" vertical="center" wrapText="1"/>
    </xf>
    <xf numFmtId="0" fontId="74" fillId="22" borderId="6" xfId="0" applyFont="1" applyFill="1" applyBorder="1" applyAlignment="1">
      <alignment horizontal="left" vertical="center" wrapText="1"/>
    </xf>
    <xf numFmtId="164" fontId="74" fillId="22" borderId="6" xfId="0" applyNumberFormat="1" applyFont="1" applyFill="1" applyBorder="1" applyAlignment="1">
      <alignment horizontal="right" vertical="center"/>
    </xf>
    <xf numFmtId="10" fontId="75" fillId="22" borderId="6" xfId="0" applyNumberFormat="1" applyFont="1" applyFill="1" applyBorder="1" applyAlignment="1">
      <alignment horizontal="right" vertical="center"/>
    </xf>
    <xf numFmtId="166" fontId="76" fillId="22" borderId="6" xfId="0" applyNumberFormat="1" applyFont="1" applyFill="1" applyBorder="1" applyAlignment="1">
      <alignment horizontal="right" vertical="center"/>
    </xf>
    <xf numFmtId="0" fontId="74" fillId="22" borderId="6" xfId="0" applyFont="1" applyFill="1" applyBorder="1" applyAlignment="1">
      <alignment horizontal="right" vertical="center"/>
    </xf>
    <xf numFmtId="164" fontId="77" fillId="22" borderId="6" xfId="0" applyNumberFormat="1" applyFont="1" applyFill="1" applyBorder="1" applyAlignment="1">
      <alignment horizontal="right" vertical="center"/>
    </xf>
    <xf numFmtId="3" fontId="77" fillId="22" borderId="6" xfId="0" applyNumberFormat="1" applyFont="1" applyFill="1" applyBorder="1" applyAlignment="1">
      <alignment horizontal="right" vertical="center"/>
    </xf>
    <xf numFmtId="0" fontId="74" fillId="12" borderId="6" xfId="0" applyFont="1" applyFill="1" applyBorder="1" applyAlignment="1">
      <alignment horizontal="center" vertical="center" wrapText="1"/>
    </xf>
    <xf numFmtId="164" fontId="27" fillId="5" borderId="10" xfId="0" applyNumberFormat="1" applyFont="1" applyFill="1" applyBorder="1" applyAlignment="1">
      <alignment horizontal="right" vertical="center"/>
    </xf>
    <xf numFmtId="10" fontId="27" fillId="5" borderId="10" xfId="0" applyNumberFormat="1" applyFont="1" applyFill="1" applyBorder="1" applyAlignment="1">
      <alignment horizontal="right" vertical="center"/>
    </xf>
    <xf numFmtId="166" fontId="27" fillId="5" borderId="10" xfId="0" applyNumberFormat="1" applyFont="1" applyFill="1" applyBorder="1" applyAlignment="1">
      <alignment horizontal="right" vertical="center"/>
    </xf>
    <xf numFmtId="0" fontId="27" fillId="5" borderId="10" xfId="0" applyFont="1" applyFill="1" applyBorder="1" applyAlignment="1">
      <alignment horizontal="right" vertical="center"/>
    </xf>
    <xf numFmtId="3" fontId="27" fillId="5" borderId="10" xfId="0" applyNumberFormat="1" applyFont="1" applyFill="1" applyBorder="1" applyAlignment="1">
      <alignment horizontal="right" vertical="center"/>
    </xf>
    <xf numFmtId="0" fontId="0" fillId="6" borderId="0" xfId="0" applyFill="1"/>
    <xf numFmtId="0" fontId="67" fillId="6" borderId="6" xfId="0" applyFont="1" applyFill="1" applyBorder="1" applyAlignment="1">
      <alignment horizontal="center" vertical="center" wrapText="1"/>
    </xf>
    <xf numFmtId="0" fontId="0" fillId="9" borderId="0" xfId="0" applyFill="1"/>
    <xf numFmtId="0" fontId="66" fillId="9" borderId="6" xfId="0" applyFont="1" applyFill="1" applyBorder="1" applyAlignment="1">
      <alignment horizontal="center" vertical="center" wrapText="1"/>
    </xf>
    <xf numFmtId="0" fontId="0" fillId="12" borderId="0" xfId="0" applyFill="1"/>
    <xf numFmtId="0" fontId="69" fillId="12" borderId="6" xfId="0" applyFont="1" applyFill="1" applyBorder="1" applyAlignment="1">
      <alignment horizontal="center" vertical="center" wrapText="1"/>
    </xf>
    <xf numFmtId="0" fontId="0" fillId="14" borderId="0" xfId="0" applyFill="1"/>
    <xf numFmtId="0" fontId="70" fillId="14" borderId="6" xfId="0" applyFont="1" applyFill="1" applyBorder="1" applyAlignment="1">
      <alignment horizontal="center" vertical="center" wrapText="1"/>
    </xf>
    <xf numFmtId="0" fontId="0" fillId="15" borderId="0" xfId="0" applyFill="1"/>
    <xf numFmtId="0" fontId="71" fillId="15" borderId="6" xfId="0" applyFont="1" applyFill="1" applyBorder="1" applyAlignment="1">
      <alignment horizontal="center" vertical="center" wrapText="1"/>
    </xf>
    <xf numFmtId="0" fontId="0" fillId="8" borderId="0" xfId="0" applyFill="1"/>
    <xf numFmtId="0" fontId="72" fillId="8" borderId="6" xfId="0" applyFont="1" applyFill="1" applyBorder="1" applyAlignment="1">
      <alignment horizontal="center" vertical="center" wrapText="1"/>
    </xf>
    <xf numFmtId="0" fontId="0" fillId="10" borderId="0" xfId="0" applyFill="1"/>
    <xf numFmtId="0" fontId="73" fillId="10" borderId="6" xfId="0" applyFont="1" applyFill="1" applyBorder="1" applyAlignment="1">
      <alignment horizontal="center" vertical="center" wrapText="1"/>
    </xf>
    <xf numFmtId="0" fontId="64" fillId="12" borderId="6" xfId="0" applyFont="1" applyFill="1" applyBorder="1" applyAlignment="1">
      <alignment horizontal="center" vertical="center" wrapText="1"/>
    </xf>
    <xf numFmtId="167" fontId="64" fillId="12" borderId="6" xfId="0" applyNumberFormat="1" applyFont="1" applyFill="1" applyBorder="1" applyAlignment="1">
      <alignment horizontal="center" vertical="center" wrapText="1"/>
    </xf>
    <xf numFmtId="166" fontId="64" fillId="12" borderId="6" xfId="0" applyNumberFormat="1" applyFont="1" applyFill="1" applyBorder="1" applyAlignment="1">
      <alignment horizontal="right" vertical="center"/>
    </xf>
    <xf numFmtId="10" fontId="64" fillId="12" borderId="6" xfId="0" applyNumberFormat="1" applyFont="1" applyFill="1" applyBorder="1" applyAlignment="1">
      <alignment horizontal="right" vertical="center"/>
    </xf>
    <xf numFmtId="0" fontId="64" fillId="22" borderId="6" xfId="0" applyFont="1" applyFill="1" applyBorder="1" applyAlignment="1">
      <alignment horizontal="center" vertical="center" wrapText="1"/>
    </xf>
    <xf numFmtId="0" fontId="64" fillId="22" borderId="6" xfId="0" applyFont="1" applyFill="1" applyBorder="1" applyAlignment="1">
      <alignment horizontal="right" vertical="center"/>
    </xf>
    <xf numFmtId="167" fontId="64" fillId="22" borderId="6" xfId="0" applyNumberFormat="1" applyFont="1" applyFill="1" applyBorder="1" applyAlignment="1">
      <alignment horizontal="center" vertical="center" wrapText="1"/>
    </xf>
    <xf numFmtId="166" fontId="64" fillId="22" borderId="6" xfId="0" applyNumberFormat="1" applyFont="1" applyFill="1" applyBorder="1" applyAlignment="1">
      <alignment horizontal="right" vertical="center"/>
    </xf>
    <xf numFmtId="10" fontId="64" fillId="22" borderId="6" xfId="0" applyNumberFormat="1" applyFont="1" applyFill="1" applyBorder="1" applyAlignment="1">
      <alignment horizontal="right" vertical="center"/>
    </xf>
    <xf numFmtId="0" fontId="74" fillId="12" borderId="6" xfId="0" applyFont="1" applyFill="1" applyBorder="1" applyAlignment="1">
      <alignment horizontal="left" vertical="center"/>
    </xf>
    <xf numFmtId="4" fontId="74" fillId="12" borderId="6" xfId="0" applyNumberFormat="1" applyFont="1" applyFill="1" applyBorder="1" applyAlignment="1">
      <alignment horizontal="right" vertical="center"/>
    </xf>
    <xf numFmtId="164" fontId="74" fillId="12" borderId="6" xfId="0" applyNumberFormat="1" applyFont="1" applyFill="1" applyBorder="1" applyAlignment="1">
      <alignment horizontal="right" vertical="center"/>
    </xf>
    <xf numFmtId="0" fontId="74" fillId="22" borderId="6" xfId="0" applyFont="1" applyFill="1" applyBorder="1" applyAlignment="1">
      <alignment horizontal="left" vertical="center"/>
    </xf>
    <xf numFmtId="4" fontId="74" fillId="22" borderId="6" xfId="0" applyNumberFormat="1" applyFont="1" applyFill="1" applyBorder="1" applyAlignment="1">
      <alignment horizontal="right" vertical="center"/>
    </xf>
    <xf numFmtId="164" fontId="74" fillId="22" borderId="6" xfId="0" applyNumberFormat="1" applyFont="1" applyFill="1" applyBorder="1" applyAlignment="1">
      <alignment horizontal="right" vertical="center"/>
    </xf>
    <xf numFmtId="4" fontId="35" fillId="5" borderId="10" xfId="0" applyNumberFormat="1" applyFont="1" applyFill="1" applyBorder="1" applyAlignment="1">
      <alignment horizontal="right" vertical="center"/>
    </xf>
    <xf numFmtId="164" fontId="64" fillId="12" borderId="6" xfId="0" applyNumberFormat="1" applyFont="1" applyFill="1" applyBorder="1" applyAlignment="1">
      <alignment horizontal="center" vertical="center" wrapText="1"/>
    </xf>
    <xf numFmtId="164" fontId="64" fillId="22" borderId="6" xfId="0" applyNumberFormat="1" applyFont="1" applyFill="1" applyBorder="1" applyAlignment="1">
      <alignment horizontal="center" vertical="center" wrapText="1"/>
    </xf>
    <xf numFmtId="0" fontId="84" fillId="12" borderId="6" xfId="0" applyFont="1" applyFill="1" applyBorder="1" applyAlignment="1">
      <alignment horizontal="left" vertical="center"/>
    </xf>
    <xf numFmtId="0" fontId="84" fillId="22" borderId="6" xfId="0" applyFont="1" applyFill="1" applyBorder="1" applyAlignment="1">
      <alignment horizontal="left" vertical="center"/>
    </xf>
    <xf numFmtId="0" fontId="12" fillId="2" borderId="0" xfId="0" applyFont="1" applyFill="1" applyBorder="1" applyAlignment="1">
      <alignment horizontal="center" vertical="center" wrapText="1"/>
    </xf>
    <xf numFmtId="0" fontId="13" fillId="7" borderId="0" xfId="0" applyFont="1" applyFill="1" applyBorder="1" applyAlignment="1">
      <alignment horizontal="center" vertical="center" wrapText="1"/>
    </xf>
    <xf numFmtId="0" fontId="14" fillId="8" borderId="0" xfId="0" applyFont="1" applyFill="1" applyBorder="1" applyAlignment="1">
      <alignment horizontal="center" vertical="center" wrapText="1"/>
    </xf>
    <xf numFmtId="0" fontId="15" fillId="6" borderId="0" xfId="0" applyFont="1" applyFill="1" applyBorder="1" applyAlignment="1">
      <alignment horizontal="center" vertical="center" wrapText="1"/>
    </xf>
    <xf numFmtId="0" fontId="16" fillId="9" borderId="0" xfId="0" applyFont="1" applyFill="1" applyBorder="1" applyAlignment="1">
      <alignment horizontal="center" vertical="center" wrapText="1"/>
    </xf>
    <xf numFmtId="0" fontId="17" fillId="10" borderId="0" xfId="0" applyFont="1" applyFill="1" applyBorder="1" applyAlignment="1">
      <alignment horizontal="center" vertical="center" wrapText="1"/>
    </xf>
    <xf numFmtId="0" fontId="18" fillId="8" borderId="0" xfId="0" applyFont="1" applyFill="1" applyBorder="1" applyAlignment="1">
      <alignment horizontal="center" vertical="center" wrapText="1"/>
    </xf>
    <xf numFmtId="0" fontId="19" fillId="6" borderId="0" xfId="0" applyFont="1" applyFill="1" applyBorder="1" applyAlignment="1">
      <alignment horizontal="center" vertical="center" wrapText="1"/>
    </xf>
    <xf numFmtId="0" fontId="20" fillId="9" borderId="0" xfId="0" applyFont="1" applyFill="1" applyBorder="1" applyAlignment="1">
      <alignment horizontal="center" vertical="center" wrapText="1"/>
    </xf>
    <xf numFmtId="0" fontId="21" fillId="10" borderId="0" xfId="0" applyFont="1" applyFill="1" applyBorder="1" applyAlignment="1">
      <alignment horizontal="center" vertical="center" wrapText="1"/>
    </xf>
    <xf numFmtId="0" fontId="0" fillId="8" borderId="0" xfId="0" applyFill="1" applyBorder="1" applyAlignment="1"/>
    <xf numFmtId="0" fontId="0" fillId="6" borderId="0" xfId="0" applyFill="1" applyBorder="1" applyAlignment="1"/>
    <xf numFmtId="0" fontId="0" fillId="9" borderId="0" xfId="0" applyFill="1" applyBorder="1" applyAlignment="1"/>
    <xf numFmtId="0" fontId="0" fillId="10" borderId="0" xfId="0" applyFill="1" applyBorder="1" applyAlignment="1"/>
    <xf numFmtId="0" fontId="22" fillId="11" borderId="0" xfId="0" applyFont="1" applyFill="1" applyBorder="1" applyAlignment="1">
      <alignment horizontal="left" vertical="center" wrapText="1"/>
    </xf>
    <xf numFmtId="0" fontId="18" fillId="8"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7" fillId="8" borderId="3" xfId="0" applyFont="1" applyFill="1" applyBorder="1" applyAlignment="1">
      <alignment horizontal="left" vertical="center" wrapText="1"/>
    </xf>
    <xf numFmtId="0" fontId="24" fillId="10" borderId="4" xfId="0" applyFont="1" applyFill="1" applyBorder="1" applyAlignment="1">
      <alignment horizontal="left" vertical="center" wrapText="1"/>
    </xf>
    <xf numFmtId="0" fontId="25" fillId="9" borderId="5" xfId="0" applyFont="1" applyFill="1" applyBorder="1" applyAlignment="1">
      <alignment horizontal="left" vertical="center" wrapText="1"/>
    </xf>
    <xf numFmtId="0" fontId="22" fillId="5" borderId="0" xfId="0" applyFont="1" applyFill="1" applyBorder="1" applyAlignment="1">
      <alignment horizontal="left" vertical="center" wrapText="1"/>
    </xf>
    <xf numFmtId="0" fontId="19" fillId="6" borderId="1" xfId="0" applyFont="1" applyFill="1" applyBorder="1" applyAlignment="1">
      <alignment horizontal="left" vertical="center" wrapText="1"/>
    </xf>
    <xf numFmtId="0" fontId="7" fillId="4" borderId="2" xfId="0" applyFont="1" applyFill="1" applyBorder="1" applyAlignment="1">
      <alignment horizontal="left" vertical="center" wrapText="1"/>
    </xf>
    <xf numFmtId="0" fontId="26" fillId="2" borderId="0" xfId="0" applyFont="1" applyFill="1" applyBorder="1" applyAlignment="1">
      <alignment horizontal="center" vertical="center" wrapText="1"/>
    </xf>
    <xf numFmtId="0" fontId="27" fillId="2" borderId="0" xfId="0" applyFont="1" applyFill="1" applyBorder="1" applyAlignment="1">
      <alignment horizontal="center" vertical="center" wrapText="1"/>
    </xf>
    <xf numFmtId="0" fontId="28" fillId="12" borderId="0" xfId="0" applyFont="1" applyFill="1" applyBorder="1" applyAlignment="1">
      <alignment horizontal="center" vertical="center" wrapText="1"/>
    </xf>
    <xf numFmtId="0" fontId="29" fillId="7" borderId="0" xfId="0" applyFont="1" applyFill="1" applyBorder="1" applyAlignment="1">
      <alignment horizontal="center" vertical="center" wrapText="1"/>
    </xf>
    <xf numFmtId="0" fontId="26" fillId="5" borderId="0" xfId="0" applyFont="1" applyFill="1" applyBorder="1" applyAlignment="1">
      <alignment horizontal="center" vertical="center" wrapText="1"/>
    </xf>
    <xf numFmtId="0" fontId="33" fillId="2" borderId="0" xfId="0" applyFont="1" applyFill="1" applyBorder="1" applyAlignment="1">
      <alignment horizontal="center" vertical="center" wrapText="1"/>
    </xf>
    <xf numFmtId="0" fontId="34" fillId="10" borderId="0" xfId="0" applyFont="1" applyFill="1" applyBorder="1" applyAlignment="1">
      <alignment horizontal="center" vertical="center" wrapText="1"/>
    </xf>
    <xf numFmtId="0" fontId="0" fillId="0" borderId="11" xfId="0" applyBorder="1" applyAlignment="1"/>
    <xf numFmtId="0" fontId="22" fillId="2" borderId="0" xfId="0" applyFont="1" applyFill="1" applyBorder="1" applyAlignment="1">
      <alignment horizontal="left" vertical="center" wrapText="1"/>
    </xf>
    <xf numFmtId="0" fontId="7" fillId="4" borderId="6" xfId="0" applyFont="1" applyFill="1" applyBorder="1" applyAlignment="1">
      <alignment horizontal="left" vertical="center" wrapText="1"/>
    </xf>
    <xf numFmtId="0" fontId="59" fillId="2" borderId="0" xfId="0" applyFont="1" applyFill="1" applyBorder="1" applyAlignment="1">
      <alignment horizontal="center" vertical="center" wrapText="1"/>
    </xf>
    <xf numFmtId="0" fontId="60" fillId="7" borderId="0" xfId="0" applyFont="1" applyFill="1" applyBorder="1" applyAlignment="1">
      <alignment horizontal="center" vertical="center" wrapText="1"/>
    </xf>
    <xf numFmtId="0" fontId="27" fillId="18" borderId="12" xfId="0" applyFont="1" applyFill="1" applyBorder="1" applyAlignment="1">
      <alignment horizontal="center" vertical="center" wrapText="1"/>
    </xf>
    <xf numFmtId="0" fontId="27" fillId="19" borderId="12" xfId="0" applyFont="1" applyFill="1" applyBorder="1" applyAlignment="1">
      <alignment horizontal="center" vertical="center" wrapText="1"/>
    </xf>
    <xf numFmtId="0" fontId="27" fillId="20" borderId="12" xfId="0" applyFont="1" applyFill="1" applyBorder="1" applyAlignment="1">
      <alignment horizontal="center" vertical="center" wrapText="1"/>
    </xf>
    <xf numFmtId="0" fontId="27" fillId="21" borderId="12" xfId="0" applyFont="1" applyFill="1" applyBorder="1" applyAlignment="1">
      <alignment horizontal="center" vertical="center" wrapText="1"/>
    </xf>
    <xf numFmtId="164" fontId="37" fillId="6" borderId="1" xfId="0" applyNumberFormat="1" applyFont="1" applyFill="1" applyBorder="1" applyAlignment="1">
      <alignment horizontal="center" vertical="center" wrapText="1"/>
    </xf>
    <xf numFmtId="164" fontId="61" fillId="6" borderId="5" xfId="0" applyNumberFormat="1" applyFont="1" applyFill="1" applyBorder="1" applyAlignment="1">
      <alignment horizontal="center" vertical="center" wrapText="1"/>
    </xf>
    <xf numFmtId="164" fontId="47" fillId="6" borderId="14" xfId="0" applyNumberFormat="1" applyFont="1" applyFill="1" applyBorder="1" applyAlignment="1">
      <alignment horizontal="center" vertical="center" wrapText="1"/>
    </xf>
    <xf numFmtId="164" fontId="62" fillId="6" borderId="15" xfId="0" applyNumberFormat="1" applyFont="1" applyFill="1" applyBorder="1" applyAlignment="1">
      <alignment horizontal="center" vertical="center" wrapText="1"/>
    </xf>
    <xf numFmtId="0" fontId="0" fillId="18" borderId="12" xfId="0" applyFill="1" applyBorder="1" applyAlignment="1"/>
    <xf numFmtId="0" fontId="0" fillId="19" borderId="12" xfId="0" applyFill="1" applyBorder="1" applyAlignment="1"/>
    <xf numFmtId="0" fontId="0" fillId="20" borderId="12" xfId="0" applyFill="1" applyBorder="1" applyAlignment="1"/>
    <xf numFmtId="0" fontId="0" fillId="21" borderId="12" xfId="0" applyFill="1" applyBorder="1" applyAlignment="1"/>
    <xf numFmtId="0" fontId="65" fillId="12" borderId="0"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0" fillId="4" borderId="0" xfId="0" applyFill="1" applyBorder="1"/>
    <xf numFmtId="0" fontId="66" fillId="9" borderId="2" xfId="0" applyFont="1" applyFill="1" applyBorder="1" applyAlignment="1">
      <alignment horizontal="center" vertical="center" wrapText="1"/>
    </xf>
    <xf numFmtId="0" fontId="67" fillId="6" borderId="2" xfId="0" applyFont="1" applyFill="1" applyBorder="1" applyAlignment="1">
      <alignment horizontal="center" vertical="center" wrapText="1"/>
    </xf>
    <xf numFmtId="0" fontId="68" fillId="13" borderId="2" xfId="0" applyFont="1" applyFill="1" applyBorder="1" applyAlignment="1">
      <alignment horizontal="center" vertical="center" wrapText="1"/>
    </xf>
    <xf numFmtId="0" fontId="69" fillId="12" borderId="2" xfId="0" applyFont="1" applyFill="1" applyBorder="1" applyAlignment="1">
      <alignment horizontal="center" vertical="center" wrapText="1"/>
    </xf>
    <xf numFmtId="0" fontId="70" fillId="14" borderId="2" xfId="0" applyFont="1" applyFill="1" applyBorder="1" applyAlignment="1">
      <alignment horizontal="center" vertical="center" wrapText="1"/>
    </xf>
    <xf numFmtId="0" fontId="71" fillId="15" borderId="2" xfId="0" applyFont="1" applyFill="1" applyBorder="1" applyAlignment="1">
      <alignment horizontal="center" vertical="center" wrapText="1"/>
    </xf>
    <xf numFmtId="0" fontId="72" fillId="8" borderId="2" xfId="0" applyFont="1" applyFill="1" applyBorder="1" applyAlignment="1">
      <alignment horizontal="center" vertical="center" wrapText="1"/>
    </xf>
    <xf numFmtId="0" fontId="73" fillId="10" borderId="2" xfId="0" applyFont="1" applyFill="1" applyBorder="1" applyAlignment="1">
      <alignment horizontal="center" vertical="center" wrapText="1"/>
    </xf>
    <xf numFmtId="0" fontId="35" fillId="5" borderId="1" xfId="0" applyFont="1" applyFill="1" applyBorder="1" applyAlignment="1">
      <alignment horizontal="center" vertical="center" wrapText="1"/>
    </xf>
    <xf numFmtId="0" fontId="26" fillId="5" borderId="0" xfId="0" applyFont="1" applyFill="1" applyBorder="1" applyAlignment="1">
      <alignment horizontal="left" vertical="center" wrapText="1"/>
    </xf>
    <xf numFmtId="0" fontId="78" fillId="6" borderId="6" xfId="0" applyFont="1" applyFill="1" applyBorder="1" applyAlignment="1">
      <alignment horizontal="left" vertical="center" wrapText="1"/>
    </xf>
    <xf numFmtId="0" fontId="32" fillId="9" borderId="6" xfId="0" applyFont="1" applyFill="1" applyBorder="1" applyAlignment="1">
      <alignment horizontal="left" vertical="center" wrapText="1"/>
    </xf>
    <xf numFmtId="0" fontId="79" fillId="12" borderId="6" xfId="0" applyFont="1" applyFill="1" applyBorder="1" applyAlignment="1">
      <alignment horizontal="left" vertical="center" wrapText="1"/>
    </xf>
    <xf numFmtId="0" fontId="80" fillId="14" borderId="6" xfId="0" applyFont="1" applyFill="1" applyBorder="1" applyAlignment="1">
      <alignment horizontal="left" vertical="center" wrapText="1"/>
    </xf>
    <xf numFmtId="0" fontId="81" fillId="15" borderId="6" xfId="0" applyFont="1" applyFill="1" applyBorder="1" applyAlignment="1">
      <alignment horizontal="left" vertical="center" wrapText="1"/>
    </xf>
    <xf numFmtId="0" fontId="30" fillId="8" borderId="6" xfId="0" applyFont="1" applyFill="1" applyBorder="1" applyAlignment="1">
      <alignment horizontal="left" vertical="center" wrapText="1"/>
    </xf>
    <xf numFmtId="0" fontId="82" fillId="10" borderId="6" xfId="0" applyFont="1" applyFill="1" applyBorder="1" applyAlignment="1">
      <alignment horizontal="left" vertical="center" wrapText="1"/>
    </xf>
    <xf numFmtId="0" fontId="18" fillId="8" borderId="17" xfId="0" applyFont="1" applyFill="1" applyBorder="1" applyAlignment="1">
      <alignment horizontal="left" vertical="center"/>
    </xf>
    <xf numFmtId="0" fontId="22" fillId="2" borderId="0" xfId="0" applyFont="1" applyFill="1" applyBorder="1" applyAlignment="1">
      <alignment horizontal="center" vertical="center" wrapText="1"/>
    </xf>
    <xf numFmtId="0" fontId="83" fillId="10" borderId="0" xfId="0" applyFont="1" applyFill="1" applyBorder="1" applyAlignment="1">
      <alignment horizontal="left" vertical="center"/>
    </xf>
    <xf numFmtId="0" fontId="0" fillId="0" borderId="0" xfId="0" applyBorder="1" applyAlignment="1"/>
    <xf numFmtId="0" fontId="64" fillId="22" borderId="6" xfId="0" applyFont="1" applyFill="1" applyBorder="1" applyAlignment="1">
      <alignment horizontal="left" vertical="center"/>
    </xf>
    <xf numFmtId="0" fontId="64" fillId="12" borderId="6" xfId="0" applyFont="1" applyFill="1" applyBorder="1" applyAlignment="1">
      <alignment horizontal="left" vertical="center"/>
    </xf>
    <xf numFmtId="0" fontId="85" fillId="2" borderId="0" xfId="0" applyFont="1" applyFill="1" applyBorder="1" applyAlignment="1">
      <alignment horizontal="center" vertical="center" wrapText="1"/>
    </xf>
    <xf numFmtId="165" fontId="35" fillId="5" borderId="10" xfId="0" applyNumberFormat="1" applyFont="1" applyFill="1" applyBorder="1" applyAlignment="1">
      <alignment horizontal="center" vertical="center"/>
    </xf>
    <xf numFmtId="3" fontId="35" fillId="5" borderId="10" xfId="0" applyNumberFormat="1" applyFont="1" applyFill="1" applyBorder="1" applyAlignment="1">
      <alignment horizontal="center" vertical="center"/>
    </xf>
    <xf numFmtId="0" fontId="64" fillId="12" borderId="6" xfId="0" applyFont="1" applyFill="1" applyBorder="1" applyAlignment="1">
      <alignment horizontal="center" vertical="center"/>
    </xf>
    <xf numFmtId="0" fontId="64" fillId="22" borderId="6" xfId="0" applyFont="1" applyFill="1" applyBorder="1" applyAlignment="1">
      <alignment horizontal="center" vertical="center"/>
    </xf>
    <xf numFmtId="0" fontId="84" fillId="22" borderId="6" xfId="0" applyFont="1" applyFill="1" applyBorder="1" applyAlignment="1">
      <alignment horizontal="left" vertical="center" wrapText="1"/>
    </xf>
    <xf numFmtId="0" fontId="64" fillId="22" borderId="6" xfId="0" applyFont="1" applyFill="1" applyBorder="1" applyAlignment="1">
      <alignment horizontal="left" vertical="center" wrapText="1"/>
    </xf>
    <xf numFmtId="0" fontId="84" fillId="12" borderId="6" xfId="0" applyFont="1" applyFill="1" applyBorder="1" applyAlignment="1">
      <alignment horizontal="left" vertical="center" wrapText="1"/>
    </xf>
    <xf numFmtId="0" fontId="64" fillId="12" borderId="6" xfId="0" applyFont="1" applyFill="1" applyBorder="1" applyAlignment="1">
      <alignment horizontal="left" vertical="center" wrapText="1"/>
    </xf>
  </cellXfs>
  <cellStyles count="1">
    <cellStyle name="Normal" xfId="0" builtinId="0"/>
  </cellStyles>
  <dxfs count="3">
    <dxf>
      <font>
        <b/>
        <sz val="10"/>
        <color rgb="FF375623"/>
        <name val="Calibri"/>
        <charset val="1"/>
      </font>
      <fill>
        <patternFill>
          <bgColor rgb="FFE2EFDA"/>
        </patternFill>
      </fill>
    </dxf>
    <dxf>
      <font>
        <b/>
        <sz val="9"/>
        <color rgb="FF804000"/>
        <name val="Calibri"/>
        <charset val="1"/>
      </font>
      <fill>
        <patternFill>
          <bgColor rgb="FFFDE9CE"/>
        </patternFill>
      </fill>
    </dxf>
    <dxf>
      <font>
        <b/>
        <sz val="9"/>
        <color rgb="FFC00000"/>
        <name val="Calibri"/>
        <charset val="1"/>
      </font>
      <fill>
        <patternFill>
          <bgColor rgb="FFFCE4D6"/>
        </patternFill>
      </fill>
    </dxf>
  </dxfs>
  <tableStyles count="0" defaultTableStyle="TableStyleMedium2" defaultPivotStyle="PivotStyleLight16"/>
  <colors>
    <indexedColors>
      <rgbColor rgb="FF000000"/>
      <rgbColor rgb="FFFFFFFF"/>
      <rgbColor rgb="FFC00000"/>
      <rgbColor rgb="FF00FF00"/>
      <rgbColor rgb="FF0000FF"/>
      <rgbColor rgb="FFFDE9CE"/>
      <rgbColor rgb="FFFF00FF"/>
      <rgbColor rgb="FF00FFFF"/>
      <rgbColor rgb="FF800000"/>
      <rgbColor rgb="FF1A5632"/>
      <rgbColor rgb="FF000080"/>
      <rgbColor rgb="FF806000"/>
      <rgbColor rgb="FF800080"/>
      <rgbColor rgb="FF0E6655"/>
      <rgbColor rgb="FFAAAAAA"/>
      <rgbColor rgb="FF888888"/>
      <rgbColor rgb="FFF2F2F2"/>
      <rgbColor rgb="FF804000"/>
      <rgbColor rgb="FFFFF5DC"/>
      <rgbColor rgb="FFD0ECE7"/>
      <rgbColor rgb="FF4B0082"/>
      <rgbColor rgb="FFFF8080"/>
      <rgbColor rgb="FF444444"/>
      <rgbColor rgb="FFD6D6D6"/>
      <rgbColor rgb="FF000080"/>
      <rgbColor rgb="FFFF00FF"/>
      <rgbColor rgb="FFFDFAF3"/>
      <rgbColor rgb="FF00FFFF"/>
      <rgbColor rgb="FF800080"/>
      <rgbColor rgb="FF800000"/>
      <rgbColor rgb="FF375623"/>
      <rgbColor rgb="FF0000FF"/>
      <rgbColor rgb="FF00CCFF"/>
      <rgbColor rgb="FFDEEAF1"/>
      <rgbColor rgb="FFE2EFDA"/>
      <rgbColor rgb="FFFFF2CC"/>
      <rgbColor rgb="FFEDE0F5"/>
      <rgbColor rgb="FFFFAAAA"/>
      <rgbColor rgb="FFFCE4D6"/>
      <rgbColor rgb="FFFFD966"/>
      <rgbColor rgb="FF2E75B6"/>
      <rgbColor rgb="FF2ECC71"/>
      <rgbColor rgb="FF99CC00"/>
      <rgbColor rgb="FFF4B942"/>
      <rgbColor rgb="FFD4AF37"/>
      <rgbColor rgb="FFE74C3C"/>
      <rgbColor rgb="FF9B59B6"/>
      <rgbColor rgb="FF95A5A6"/>
      <rgbColor rgb="FF1B2A3B"/>
      <rgbColor rgb="FF70AD47"/>
      <rgbColor rgb="FF0D1B2A"/>
      <rgbColor rgb="FF5C4000"/>
      <rgbColor rgb="FF9B2C2C"/>
      <rgbColor rgb="FF7B4F00"/>
      <rgbColor rgb="FF1F4E7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4AF37"/>
  </sheetPr>
  <dimension ref="A1:G35"/>
  <sheetViews>
    <sheetView showGridLines="0" tabSelected="1" zoomScaleNormal="100" workbookViewId="0">
      <selection sqref="A1:G1"/>
    </sheetView>
  </sheetViews>
  <sheetFormatPr defaultColWidth="8.6640625" defaultRowHeight="14.4" x14ac:dyDescent="0.3"/>
  <cols>
    <col min="1" max="1" width="3" style="15" customWidth="1"/>
    <col min="2" max="6" width="22" style="15" customWidth="1"/>
    <col min="7" max="7" width="3" style="15" customWidth="1"/>
  </cols>
  <sheetData>
    <row r="1" spans="1:7" ht="7.5" customHeight="1" x14ac:dyDescent="0.3">
      <c r="A1" s="14"/>
      <c r="B1" s="14"/>
      <c r="C1" s="14"/>
      <c r="D1" s="14"/>
      <c r="E1" s="14"/>
      <c r="F1" s="14"/>
      <c r="G1" s="14"/>
    </row>
    <row r="2" spans="1:7" ht="7.5" customHeight="1" x14ac:dyDescent="0.3">
      <c r="A2" s="14"/>
      <c r="B2" s="14"/>
      <c r="C2" s="14"/>
      <c r="D2" s="14"/>
      <c r="E2" s="14"/>
      <c r="F2" s="14"/>
      <c r="G2" s="14"/>
    </row>
    <row r="3" spans="1:7" ht="3.75" customHeight="1" x14ac:dyDescent="0.3">
      <c r="A3" s="13"/>
      <c r="B3" s="13"/>
      <c r="C3" s="13"/>
      <c r="D3" s="13"/>
      <c r="E3" s="13"/>
      <c r="F3" s="13"/>
      <c r="G3" s="13"/>
    </row>
    <row r="4" spans="1:7" ht="27.75" customHeight="1" x14ac:dyDescent="0.3">
      <c r="A4" s="16"/>
      <c r="B4" s="12" t="s">
        <v>0</v>
      </c>
      <c r="C4" s="12"/>
      <c r="D4" s="12"/>
      <c r="E4" s="12"/>
      <c r="F4" s="12"/>
      <c r="G4" s="16"/>
    </row>
    <row r="5" spans="1:7" ht="13.5" customHeight="1" x14ac:dyDescent="0.3">
      <c r="A5" s="16"/>
      <c r="B5" s="12"/>
      <c r="C5" s="12"/>
      <c r="D5" s="12"/>
      <c r="E5" s="12"/>
      <c r="F5" s="12"/>
      <c r="G5" s="16"/>
    </row>
    <row r="6" spans="1:7" ht="13.5" customHeight="1" x14ac:dyDescent="0.3">
      <c r="A6" s="16"/>
      <c r="B6" s="12"/>
      <c r="C6" s="12"/>
      <c r="D6" s="12"/>
      <c r="E6" s="12"/>
      <c r="F6" s="12"/>
      <c r="G6" s="16"/>
    </row>
    <row r="7" spans="1:7" ht="13.5" customHeight="1" x14ac:dyDescent="0.3">
      <c r="A7" s="16"/>
      <c r="B7" s="12"/>
      <c r="C7" s="12"/>
      <c r="D7" s="12"/>
      <c r="E7" s="12"/>
      <c r="F7" s="12"/>
      <c r="G7" s="16"/>
    </row>
    <row r="8" spans="1:7" ht="21.75" customHeight="1" x14ac:dyDescent="0.3">
      <c r="A8" s="16"/>
      <c r="B8" s="11" t="s">
        <v>1</v>
      </c>
      <c r="C8" s="11"/>
      <c r="D8" s="11"/>
      <c r="E8" s="11"/>
      <c r="F8" s="11"/>
      <c r="G8" s="16"/>
    </row>
    <row r="9" spans="1:7" ht="1.5" customHeight="1" x14ac:dyDescent="0.3">
      <c r="A9" s="16"/>
      <c r="B9" s="13"/>
      <c r="C9" s="13"/>
      <c r="D9" s="13"/>
      <c r="E9" s="13"/>
      <c r="F9" s="13"/>
      <c r="G9" s="16"/>
    </row>
    <row r="10" spans="1:7" ht="13.5" customHeight="1" x14ac:dyDescent="0.3">
      <c r="A10" s="10"/>
      <c r="B10" s="10"/>
      <c r="C10" s="10"/>
      <c r="D10" s="10"/>
      <c r="E10" s="10"/>
      <c r="F10" s="10"/>
      <c r="G10" s="10"/>
    </row>
    <row r="11" spans="1:7" ht="18" customHeight="1" x14ac:dyDescent="0.3">
      <c r="A11" s="16"/>
      <c r="B11" s="9" t="s">
        <v>2</v>
      </c>
      <c r="C11" s="9"/>
      <c r="D11" s="9"/>
      <c r="E11" s="9"/>
      <c r="F11" s="9"/>
      <c r="G11" s="16"/>
    </row>
    <row r="12" spans="1:7" ht="30" customHeight="1" x14ac:dyDescent="0.3">
      <c r="A12" s="16"/>
      <c r="B12" s="8" t="s">
        <v>3</v>
      </c>
      <c r="C12" s="8"/>
      <c r="D12" s="8"/>
      <c r="E12" s="8"/>
      <c r="F12" s="8"/>
      <c r="G12" s="16"/>
    </row>
    <row r="13" spans="1:7" ht="21.75" customHeight="1" x14ac:dyDescent="0.3">
      <c r="A13" s="16"/>
      <c r="B13" s="8"/>
      <c r="C13" s="8"/>
      <c r="D13" s="8"/>
      <c r="E13" s="8"/>
      <c r="F13" s="8"/>
      <c r="G13" s="16"/>
    </row>
    <row r="14" spans="1:7" ht="21.75" customHeight="1" x14ac:dyDescent="0.3">
      <c r="A14" s="16"/>
      <c r="B14" s="8"/>
      <c r="C14" s="8"/>
      <c r="D14" s="8"/>
      <c r="E14" s="8"/>
      <c r="F14" s="8"/>
      <c r="G14" s="16"/>
    </row>
    <row r="15" spans="1:7" ht="19.5" customHeight="1" x14ac:dyDescent="0.3">
      <c r="A15" s="16"/>
      <c r="B15" s="7" t="s">
        <v>4</v>
      </c>
      <c r="C15" s="7"/>
      <c r="D15" s="7"/>
      <c r="E15" s="7"/>
      <c r="F15" s="7"/>
      <c r="G15" s="16"/>
    </row>
    <row r="16" spans="1:7" ht="13.5" customHeight="1" x14ac:dyDescent="0.3">
      <c r="A16" s="10"/>
      <c r="B16" s="10"/>
      <c r="C16" s="10"/>
      <c r="D16" s="10"/>
      <c r="E16" s="10"/>
      <c r="F16" s="10"/>
      <c r="G16" s="10"/>
    </row>
    <row r="17" spans="1:7" ht="15.75" customHeight="1" x14ac:dyDescent="0.3">
      <c r="A17" s="16"/>
      <c r="B17" s="6" t="s">
        <v>5</v>
      </c>
      <c r="C17" s="6"/>
      <c r="D17" s="6" t="s">
        <v>6</v>
      </c>
      <c r="E17" s="6"/>
      <c r="F17" s="6"/>
      <c r="G17" s="16"/>
    </row>
    <row r="18" spans="1:7" ht="21.75" customHeight="1" x14ac:dyDescent="0.3">
      <c r="A18" s="16"/>
      <c r="B18" s="5" t="s">
        <v>7</v>
      </c>
      <c r="C18" s="5"/>
      <c r="D18" s="5" t="s">
        <v>8</v>
      </c>
      <c r="E18" s="5"/>
      <c r="F18" s="5"/>
      <c r="G18" s="16"/>
    </row>
    <row r="19" spans="1:7" ht="6" customHeight="1" x14ac:dyDescent="0.3">
      <c r="A19" s="10"/>
      <c r="B19" s="10"/>
      <c r="C19" s="10"/>
      <c r="D19" s="10"/>
      <c r="E19" s="10"/>
      <c r="F19" s="10"/>
      <c r="G19" s="10"/>
    </row>
    <row r="20" spans="1:7" ht="15.75" customHeight="1" x14ac:dyDescent="0.3">
      <c r="A20" s="16"/>
      <c r="B20" s="6" t="s">
        <v>9</v>
      </c>
      <c r="C20" s="6"/>
      <c r="D20" s="6" t="s">
        <v>10</v>
      </c>
      <c r="E20" s="6"/>
      <c r="F20" s="6"/>
      <c r="G20" s="16"/>
    </row>
    <row r="21" spans="1:7" ht="26.4" customHeight="1" x14ac:dyDescent="0.3">
      <c r="A21" s="16"/>
      <c r="B21" s="5" t="s">
        <v>11</v>
      </c>
      <c r="C21" s="5"/>
      <c r="D21" s="5" t="s">
        <v>12</v>
      </c>
      <c r="E21" s="5"/>
      <c r="F21" s="5"/>
      <c r="G21" s="16"/>
    </row>
    <row r="22" spans="1:7" ht="6" customHeight="1" x14ac:dyDescent="0.3">
      <c r="A22" s="10"/>
      <c r="B22" s="10"/>
      <c r="C22" s="10"/>
      <c r="D22" s="10"/>
      <c r="E22" s="10"/>
      <c r="F22" s="10"/>
      <c r="G22" s="10"/>
    </row>
    <row r="23" spans="1:7" ht="15.75" customHeight="1" x14ac:dyDescent="0.3">
      <c r="A23" s="16"/>
      <c r="B23" s="6" t="s">
        <v>13</v>
      </c>
      <c r="C23" s="6"/>
      <c r="D23" s="6" t="s">
        <v>14</v>
      </c>
      <c r="E23" s="6"/>
      <c r="F23" s="6"/>
      <c r="G23" s="16"/>
    </row>
    <row r="24" spans="1:7" ht="24" customHeight="1" x14ac:dyDescent="0.3">
      <c r="A24" s="16"/>
      <c r="B24" s="5" t="s">
        <v>15</v>
      </c>
      <c r="C24" s="5"/>
      <c r="D24" s="5" t="s">
        <v>16</v>
      </c>
      <c r="E24" s="5"/>
      <c r="F24" s="5"/>
      <c r="G24" s="16"/>
    </row>
    <row r="25" spans="1:7" ht="6" customHeight="1" x14ac:dyDescent="0.3">
      <c r="A25" s="10"/>
      <c r="B25" s="10"/>
      <c r="C25" s="10"/>
      <c r="D25" s="10"/>
      <c r="E25" s="10"/>
      <c r="F25" s="10"/>
      <c r="G25" s="10"/>
    </row>
    <row r="26" spans="1:7" ht="15.75" customHeight="1" x14ac:dyDescent="0.3">
      <c r="A26" s="16"/>
      <c r="B26" s="6" t="s">
        <v>17</v>
      </c>
      <c r="C26" s="6"/>
      <c r="D26" s="6" t="s">
        <v>18</v>
      </c>
      <c r="E26" s="6"/>
      <c r="F26" s="6"/>
      <c r="G26" s="16"/>
    </row>
    <row r="27" spans="1:7" ht="26.4" customHeight="1" x14ac:dyDescent="0.3">
      <c r="A27" s="16"/>
      <c r="B27" s="5" t="s">
        <v>19</v>
      </c>
      <c r="C27" s="5"/>
      <c r="D27" s="5" t="s">
        <v>20</v>
      </c>
      <c r="E27" s="5"/>
      <c r="F27" s="5"/>
      <c r="G27" s="16"/>
    </row>
    <row r="28" spans="1:7" ht="6" customHeight="1" x14ac:dyDescent="0.3">
      <c r="A28" s="10"/>
      <c r="B28" s="10"/>
      <c r="C28" s="10"/>
      <c r="D28" s="10"/>
      <c r="E28" s="10"/>
      <c r="F28" s="10"/>
      <c r="G28" s="10"/>
    </row>
    <row r="29" spans="1:7" ht="15" customHeight="1" x14ac:dyDescent="0.3">
      <c r="A29" s="16"/>
      <c r="B29" s="16"/>
      <c r="C29" s="16"/>
      <c r="D29" s="16"/>
      <c r="E29" s="16"/>
      <c r="F29" s="16"/>
      <c r="G29" s="16"/>
    </row>
    <row r="30" spans="1:7" ht="3" customHeight="1" x14ac:dyDescent="0.3">
      <c r="A30" s="13"/>
      <c r="B30" s="13"/>
      <c r="C30" s="13"/>
      <c r="D30" s="13"/>
      <c r="E30" s="13"/>
      <c r="F30" s="13"/>
      <c r="G30" s="13"/>
    </row>
    <row r="31" spans="1:7" ht="15.75" customHeight="1" x14ac:dyDescent="0.3">
      <c r="A31" s="4" t="s">
        <v>21</v>
      </c>
      <c r="B31" s="4"/>
      <c r="C31" s="4"/>
      <c r="D31" s="4"/>
      <c r="E31" s="4"/>
      <c r="F31" s="4"/>
      <c r="G31" s="4"/>
    </row>
    <row r="32" spans="1:7" ht="19.5" customHeight="1" x14ac:dyDescent="0.3">
      <c r="A32" s="3" t="s">
        <v>22</v>
      </c>
      <c r="B32" s="3"/>
      <c r="C32" s="3"/>
      <c r="D32" s="3"/>
      <c r="E32" s="3"/>
      <c r="F32" s="3"/>
      <c r="G32" s="3"/>
    </row>
    <row r="33" spans="1:7" ht="18" customHeight="1" x14ac:dyDescent="0.3">
      <c r="A33" s="2" t="s">
        <v>23</v>
      </c>
      <c r="B33" s="2"/>
      <c r="C33" s="2"/>
      <c r="D33" s="2"/>
      <c r="E33" s="2"/>
      <c r="F33" s="2"/>
      <c r="G33" s="2"/>
    </row>
    <row r="34" spans="1:7" ht="15.75" customHeight="1" x14ac:dyDescent="0.3">
      <c r="A34" s="1" t="s">
        <v>24</v>
      </c>
      <c r="B34" s="1"/>
      <c r="C34" s="1"/>
      <c r="D34" s="1"/>
      <c r="E34" s="1"/>
      <c r="F34" s="1"/>
      <c r="G34" s="1"/>
    </row>
    <row r="35" spans="1:7" ht="3" customHeight="1" x14ac:dyDescent="0.3">
      <c r="A35" s="13"/>
      <c r="B35" s="13"/>
      <c r="C35" s="13"/>
      <c r="D35" s="13"/>
      <c r="E35" s="13"/>
      <c r="F35" s="13"/>
      <c r="G35" s="13"/>
    </row>
  </sheetData>
  <sheetProtection algorithmName="SHA-512" hashValue="vaxI2JZT18CLqUUsAVqTBwg6dZ5KatbgMnvHnAsqNX6EolXbtdJ4R0uXRJehT0loEy3a+hdAaJZ3oV6jxoIvDA==" saltValue="0f9zNpuwGSMGHr64pfn7gA==" spinCount="100000" sheet="1" objects="1" scenarios="1"/>
  <mergeCells count="37">
    <mergeCell ref="A34:G34"/>
    <mergeCell ref="A35:G35"/>
    <mergeCell ref="A28:G28"/>
    <mergeCell ref="A30:G30"/>
    <mergeCell ref="A31:G31"/>
    <mergeCell ref="A32:G32"/>
    <mergeCell ref="A33:G33"/>
    <mergeCell ref="A25:G25"/>
    <mergeCell ref="B26:C26"/>
    <mergeCell ref="D26:F26"/>
    <mergeCell ref="B27:C27"/>
    <mergeCell ref="D27:F27"/>
    <mergeCell ref="A22:G22"/>
    <mergeCell ref="B23:C23"/>
    <mergeCell ref="D23:F23"/>
    <mergeCell ref="B24:C24"/>
    <mergeCell ref="D24:F24"/>
    <mergeCell ref="A19:G19"/>
    <mergeCell ref="B20:C20"/>
    <mergeCell ref="D20:F20"/>
    <mergeCell ref="B21:C21"/>
    <mergeCell ref="D21:F21"/>
    <mergeCell ref="A16:G16"/>
    <mergeCell ref="B17:C17"/>
    <mergeCell ref="D17:F17"/>
    <mergeCell ref="B18:C18"/>
    <mergeCell ref="D18:F18"/>
    <mergeCell ref="B9:F9"/>
    <mergeCell ref="A10:G10"/>
    <mergeCell ref="B11:F11"/>
    <mergeCell ref="B12:F14"/>
    <mergeCell ref="B15:F15"/>
    <mergeCell ref="A1:G1"/>
    <mergeCell ref="A2:G2"/>
    <mergeCell ref="A3:G3"/>
    <mergeCell ref="B4:F7"/>
    <mergeCell ref="B8:F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4AF37"/>
  </sheetPr>
  <dimension ref="A1:I29"/>
  <sheetViews>
    <sheetView showGridLines="0" zoomScaleNormal="100" workbookViewId="0">
      <selection sqref="A1:I1"/>
    </sheetView>
  </sheetViews>
  <sheetFormatPr defaultColWidth="8.6640625" defaultRowHeight="14.4" x14ac:dyDescent="0.3"/>
  <cols>
    <col min="1" max="1" width="1" style="15" customWidth="1"/>
    <col min="2" max="7" width="14" style="15" customWidth="1"/>
    <col min="8" max="8" width="26.5546875" style="15" customWidth="1"/>
    <col min="9" max="9" width="1" style="15" customWidth="1"/>
  </cols>
  <sheetData>
    <row r="1" spans="1:9" ht="31.5" customHeight="1" x14ac:dyDescent="0.3">
      <c r="A1" s="139" t="s">
        <v>25</v>
      </c>
      <c r="B1" s="139"/>
      <c r="C1" s="139"/>
      <c r="D1" s="139"/>
      <c r="E1" s="139"/>
      <c r="F1" s="139"/>
      <c r="G1" s="139"/>
      <c r="H1" s="139"/>
      <c r="I1" s="139"/>
    </row>
    <row r="2" spans="1:9" ht="19.5" customHeight="1" x14ac:dyDescent="0.3">
      <c r="A2" s="140" t="s">
        <v>26</v>
      </c>
      <c r="B2" s="140"/>
      <c r="C2" s="140"/>
      <c r="D2" s="140"/>
      <c r="E2" s="140"/>
      <c r="F2" s="140"/>
      <c r="G2" s="140"/>
      <c r="H2" s="140"/>
      <c r="I2" s="140"/>
    </row>
    <row r="3" spans="1:9" ht="9.75" customHeight="1" x14ac:dyDescent="0.3">
      <c r="A3" s="10"/>
      <c r="B3" s="10"/>
      <c r="C3" s="10"/>
      <c r="D3" s="10"/>
      <c r="E3" s="10"/>
      <c r="F3" s="10"/>
      <c r="G3" s="10"/>
      <c r="H3" s="10"/>
      <c r="I3" s="10"/>
    </row>
    <row r="4" spans="1:9" ht="43.5" customHeight="1" x14ac:dyDescent="0.3">
      <c r="A4" s="16"/>
      <c r="B4" s="141" t="s">
        <v>27</v>
      </c>
      <c r="C4" s="141"/>
      <c r="D4" s="142" t="s">
        <v>28</v>
      </c>
      <c r="E4" s="142"/>
      <c r="F4" s="143" t="s">
        <v>29</v>
      </c>
      <c r="G4" s="143"/>
      <c r="H4" s="144" t="s">
        <v>30</v>
      </c>
      <c r="I4" s="144"/>
    </row>
    <row r="5" spans="1:9" ht="21.75" customHeight="1" x14ac:dyDescent="0.3">
      <c r="B5" s="145" t="s">
        <v>31</v>
      </c>
      <c r="C5" s="145"/>
      <c r="D5" s="146" t="s">
        <v>32</v>
      </c>
      <c r="E5" s="146"/>
      <c r="F5" s="147" t="s">
        <v>33</v>
      </c>
      <c r="G5" s="147"/>
      <c r="H5" s="148" t="s">
        <v>34</v>
      </c>
      <c r="I5" s="148"/>
    </row>
    <row r="6" spans="1:9" ht="9.75" customHeight="1" x14ac:dyDescent="0.3">
      <c r="B6" s="149"/>
      <c r="C6" s="149"/>
      <c r="D6" s="150"/>
      <c r="E6" s="150"/>
      <c r="F6" s="151"/>
      <c r="G6" s="151"/>
      <c r="H6" s="152"/>
      <c r="I6" s="152"/>
    </row>
    <row r="7" spans="1:9" ht="7.5" customHeight="1" x14ac:dyDescent="0.3">
      <c r="A7" s="10"/>
      <c r="B7" s="10"/>
      <c r="C7" s="10"/>
      <c r="D7" s="10"/>
      <c r="E7" s="10"/>
      <c r="F7" s="10"/>
      <c r="G7" s="10"/>
      <c r="H7" s="10"/>
      <c r="I7" s="10"/>
    </row>
    <row r="8" spans="1:9" ht="25.5" customHeight="1" x14ac:dyDescent="0.3">
      <c r="A8" s="153" t="s">
        <v>35</v>
      </c>
      <c r="B8" s="153"/>
      <c r="C8" s="153"/>
      <c r="D8" s="153"/>
      <c r="E8" s="153"/>
      <c r="F8" s="153"/>
      <c r="G8" s="153"/>
      <c r="H8" s="153"/>
      <c r="I8" s="153"/>
    </row>
    <row r="9" spans="1:9" ht="21.75" customHeight="1" x14ac:dyDescent="0.3">
      <c r="A9" s="16"/>
      <c r="B9" s="154" t="s">
        <v>36</v>
      </c>
      <c r="C9" s="154"/>
      <c r="D9" s="155" t="s">
        <v>37</v>
      </c>
      <c r="E9" s="155"/>
      <c r="F9" s="155"/>
      <c r="G9" s="156" t="s">
        <v>38</v>
      </c>
      <c r="H9" s="156"/>
      <c r="I9" s="16"/>
    </row>
    <row r="10" spans="1:9" ht="42.6" customHeight="1" x14ac:dyDescent="0.3">
      <c r="A10" s="17"/>
      <c r="B10" s="157" t="s">
        <v>39</v>
      </c>
      <c r="C10" s="157"/>
      <c r="D10" s="158" t="s">
        <v>40</v>
      </c>
      <c r="E10" s="158"/>
      <c r="F10" s="158"/>
      <c r="G10" s="159" t="s">
        <v>41</v>
      </c>
      <c r="H10" s="159"/>
      <c r="I10" s="18"/>
    </row>
    <row r="11" spans="1:9" ht="40.200000000000003" customHeight="1" x14ac:dyDescent="0.3">
      <c r="A11" s="17"/>
      <c r="B11" s="157" t="s">
        <v>42</v>
      </c>
      <c r="C11" s="157"/>
      <c r="D11" s="158" t="s">
        <v>43</v>
      </c>
      <c r="E11" s="158"/>
      <c r="F11" s="158"/>
      <c r="G11" s="159" t="s">
        <v>44</v>
      </c>
      <c r="H11" s="159"/>
      <c r="I11" s="18"/>
    </row>
    <row r="12" spans="1:9" ht="39.6" customHeight="1" x14ac:dyDescent="0.3">
      <c r="A12" s="17"/>
      <c r="B12" s="157" t="s">
        <v>45</v>
      </c>
      <c r="C12" s="157"/>
      <c r="D12" s="158" t="s">
        <v>46</v>
      </c>
      <c r="E12" s="158"/>
      <c r="F12" s="158"/>
      <c r="G12" s="159" t="s">
        <v>47</v>
      </c>
      <c r="H12" s="159"/>
      <c r="I12" s="18"/>
    </row>
    <row r="13" spans="1:9" ht="37.5" customHeight="1" x14ac:dyDescent="0.3">
      <c r="A13" s="17"/>
      <c r="B13" s="157" t="s">
        <v>48</v>
      </c>
      <c r="C13" s="157"/>
      <c r="D13" s="158" t="s">
        <v>49</v>
      </c>
      <c r="E13" s="158"/>
      <c r="F13" s="158"/>
      <c r="G13" s="159" t="s">
        <v>50</v>
      </c>
      <c r="H13" s="159"/>
      <c r="I13" s="18"/>
    </row>
    <row r="14" spans="1:9" ht="40.200000000000003" customHeight="1" x14ac:dyDescent="0.3">
      <c r="A14" s="17"/>
      <c r="B14" s="157" t="s">
        <v>51</v>
      </c>
      <c r="C14" s="157"/>
      <c r="D14" s="158" t="s">
        <v>52</v>
      </c>
      <c r="E14" s="158"/>
      <c r="F14" s="158"/>
      <c r="G14" s="159" t="s">
        <v>53</v>
      </c>
      <c r="H14" s="159"/>
      <c r="I14" s="18"/>
    </row>
    <row r="15" spans="1:9" ht="39.6" customHeight="1" x14ac:dyDescent="0.3">
      <c r="A15" s="17"/>
      <c r="B15" s="157" t="s">
        <v>54</v>
      </c>
      <c r="C15" s="157"/>
      <c r="D15" s="158" t="s">
        <v>55</v>
      </c>
      <c r="E15" s="158"/>
      <c r="F15" s="158"/>
      <c r="G15" s="159" t="s">
        <v>56</v>
      </c>
      <c r="H15" s="159"/>
      <c r="I15" s="18"/>
    </row>
    <row r="16" spans="1:9" ht="42.6" customHeight="1" x14ac:dyDescent="0.3">
      <c r="A16" s="17"/>
      <c r="B16" s="157" t="s">
        <v>57</v>
      </c>
      <c r="C16" s="157"/>
      <c r="D16" s="158" t="s">
        <v>58</v>
      </c>
      <c r="E16" s="158"/>
      <c r="F16" s="158"/>
      <c r="G16" s="159" t="s">
        <v>59</v>
      </c>
      <c r="H16" s="159"/>
      <c r="I16" s="18"/>
    </row>
    <row r="17" spans="1:9" ht="9.75" customHeight="1" x14ac:dyDescent="0.3">
      <c r="A17" s="10"/>
      <c r="B17" s="10"/>
      <c r="C17" s="10"/>
      <c r="D17" s="10"/>
      <c r="E17" s="10"/>
      <c r="F17" s="10"/>
      <c r="G17" s="10"/>
      <c r="H17" s="10"/>
      <c r="I17" s="10"/>
    </row>
    <row r="18" spans="1:9" ht="25.5" customHeight="1" x14ac:dyDescent="0.3">
      <c r="A18" s="160" t="s">
        <v>60</v>
      </c>
      <c r="B18" s="160"/>
      <c r="C18" s="160"/>
      <c r="D18" s="160"/>
      <c r="E18" s="160"/>
      <c r="F18" s="160"/>
      <c r="G18" s="160"/>
      <c r="H18" s="160"/>
      <c r="I18" s="160"/>
    </row>
    <row r="19" spans="1:9" ht="33.75" customHeight="1" x14ac:dyDescent="0.3">
      <c r="A19" s="19"/>
      <c r="B19" s="161" t="s">
        <v>61</v>
      </c>
      <c r="C19" s="161"/>
      <c r="D19" s="162" t="s">
        <v>62</v>
      </c>
      <c r="E19" s="162"/>
      <c r="F19" s="162"/>
      <c r="G19" s="162"/>
      <c r="H19" s="162"/>
      <c r="I19" s="19"/>
    </row>
    <row r="20" spans="1:9" ht="33.75" customHeight="1" x14ac:dyDescent="0.3">
      <c r="A20" s="19"/>
      <c r="B20" s="161" t="s">
        <v>63</v>
      </c>
      <c r="C20" s="161"/>
      <c r="D20" s="162" t="s">
        <v>64</v>
      </c>
      <c r="E20" s="162"/>
      <c r="F20" s="162"/>
      <c r="G20" s="162"/>
      <c r="H20" s="162"/>
      <c r="I20" s="19"/>
    </row>
    <row r="21" spans="1:9" ht="33.75" customHeight="1" x14ac:dyDescent="0.3">
      <c r="A21" s="19"/>
      <c r="B21" s="161" t="s">
        <v>65</v>
      </c>
      <c r="C21" s="161"/>
      <c r="D21" s="162" t="s">
        <v>66</v>
      </c>
      <c r="E21" s="162"/>
      <c r="F21" s="162"/>
      <c r="G21" s="162"/>
      <c r="H21" s="162"/>
      <c r="I21" s="19"/>
    </row>
    <row r="22" spans="1:9" ht="40.799999999999997" customHeight="1" x14ac:dyDescent="0.3">
      <c r="A22" s="19"/>
      <c r="B22" s="161" t="s">
        <v>67</v>
      </c>
      <c r="C22" s="161"/>
      <c r="D22" s="162" t="s">
        <v>68</v>
      </c>
      <c r="E22" s="162"/>
      <c r="F22" s="162"/>
      <c r="G22" s="162"/>
      <c r="H22" s="162"/>
      <c r="I22" s="19"/>
    </row>
    <row r="23" spans="1:9" ht="33.75" customHeight="1" x14ac:dyDescent="0.3">
      <c r="A23" s="19"/>
      <c r="B23" s="161" t="s">
        <v>69</v>
      </c>
      <c r="C23" s="161"/>
      <c r="D23" s="162" t="s">
        <v>70</v>
      </c>
      <c r="E23" s="162"/>
      <c r="F23" s="162"/>
      <c r="G23" s="162"/>
      <c r="H23" s="162"/>
      <c r="I23" s="19"/>
    </row>
    <row r="25" spans="1:9" ht="9.75" customHeight="1" x14ac:dyDescent="0.3">
      <c r="A25" s="10"/>
      <c r="B25" s="10"/>
      <c r="C25" s="10"/>
      <c r="D25" s="10"/>
      <c r="E25" s="10"/>
      <c r="F25" s="10"/>
      <c r="G25" s="10"/>
      <c r="H25" s="10"/>
      <c r="I25" s="10"/>
    </row>
    <row r="26" spans="1:9" ht="31.5" customHeight="1" x14ac:dyDescent="0.3">
      <c r="A26" s="163" t="s">
        <v>71</v>
      </c>
      <c r="B26" s="163"/>
      <c r="C26" s="163"/>
      <c r="D26" s="163"/>
      <c r="E26" s="163"/>
      <c r="F26" s="163"/>
      <c r="G26" s="163"/>
      <c r="H26" s="163"/>
      <c r="I26" s="163"/>
    </row>
    <row r="28" spans="1:9" ht="18" customHeight="1" x14ac:dyDescent="0.3">
      <c r="A28" s="164" t="s">
        <v>72</v>
      </c>
      <c r="B28" s="164"/>
      <c r="C28" s="164"/>
      <c r="D28" s="164"/>
      <c r="E28" s="164"/>
      <c r="F28" s="164"/>
      <c r="G28" s="164"/>
      <c r="H28" s="164"/>
      <c r="I28" s="164"/>
    </row>
    <row r="29" spans="1:9" ht="16.2" customHeight="1" x14ac:dyDescent="0.3">
      <c r="A29" s="165" t="s">
        <v>73</v>
      </c>
      <c r="B29" s="165"/>
      <c r="C29" s="165"/>
      <c r="D29" s="165"/>
      <c r="E29" s="165"/>
      <c r="F29" s="165"/>
      <c r="G29" s="165"/>
      <c r="H29" s="165"/>
      <c r="I29" s="165"/>
    </row>
  </sheetData>
  <sheetProtection algorithmName="SHA-512" hashValue="IRJrxVws5YM48MUFMWZ9mIRzmj+a4N57ys9sylRfeKGF0oy4yBhN8PIwQ2k/x35KsNwpEgMQUm9Q3cBCxLhUhg==" saltValue="Tba1d1uiLW7Vl5PXNNo0RA==" spinCount="100000" sheet="1" objects="1" scenarios="1"/>
  <mergeCells count="57">
    <mergeCell ref="A26:I26"/>
    <mergeCell ref="A28:I28"/>
    <mergeCell ref="A29:I29"/>
    <mergeCell ref="B22:C22"/>
    <mergeCell ref="D22:H22"/>
    <mergeCell ref="B23:C23"/>
    <mergeCell ref="D23:H23"/>
    <mergeCell ref="A25:I25"/>
    <mergeCell ref="B19:C19"/>
    <mergeCell ref="D19:H19"/>
    <mergeCell ref="B20:C20"/>
    <mergeCell ref="D20:H20"/>
    <mergeCell ref="B21:C21"/>
    <mergeCell ref="D21:H21"/>
    <mergeCell ref="B16:C16"/>
    <mergeCell ref="D16:F16"/>
    <mergeCell ref="G16:H16"/>
    <mergeCell ref="A17:I17"/>
    <mergeCell ref="A18:I18"/>
    <mergeCell ref="B14:C14"/>
    <mergeCell ref="D14:F14"/>
    <mergeCell ref="G14:H14"/>
    <mergeCell ref="B15:C15"/>
    <mergeCell ref="D15:F15"/>
    <mergeCell ref="G15:H15"/>
    <mergeCell ref="B12:C12"/>
    <mergeCell ref="D12:F12"/>
    <mergeCell ref="G12:H12"/>
    <mergeCell ref="B13:C13"/>
    <mergeCell ref="D13:F13"/>
    <mergeCell ref="G13:H13"/>
    <mergeCell ref="B10:C10"/>
    <mergeCell ref="D10:F10"/>
    <mergeCell ref="G10:H10"/>
    <mergeCell ref="B11:C11"/>
    <mergeCell ref="D11:F11"/>
    <mergeCell ref="G11:H11"/>
    <mergeCell ref="A7:I7"/>
    <mergeCell ref="A8:I8"/>
    <mergeCell ref="B9:C9"/>
    <mergeCell ref="D9:F9"/>
    <mergeCell ref="G9:H9"/>
    <mergeCell ref="B5:C5"/>
    <mergeCell ref="D5:E5"/>
    <mergeCell ref="F5:G5"/>
    <mergeCell ref="H5:I5"/>
    <mergeCell ref="B6:C6"/>
    <mergeCell ref="D6:E6"/>
    <mergeCell ref="F6:G6"/>
    <mergeCell ref="H6:I6"/>
    <mergeCell ref="A1:I1"/>
    <mergeCell ref="A2:I2"/>
    <mergeCell ref="A3:I3"/>
    <mergeCell ref="B4:C4"/>
    <mergeCell ref="D4:E4"/>
    <mergeCell ref="F4:G4"/>
    <mergeCell ref="H4:I4"/>
  </mergeCells>
  <pageMargins left="0.75" right="0.75" top="1" bottom="1" header="0.511811023622047" footer="0.511811023622047"/>
  <pageSetup paperSize="9" orientation="portrait" horizontalDpi="300" verticalDpi="300"/>
  <ignoredErrors>
    <ignoredError sqref="D4:I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F20"/>
  <sheetViews>
    <sheetView showGridLines="0" zoomScaleNormal="100" workbookViewId="0">
      <pane xSplit="1" ySplit="4" topLeftCell="B5" activePane="bottomRight" state="frozen"/>
      <selection pane="topRight" activeCell="B1" sqref="B1"/>
      <selection pane="bottomLeft" activeCell="A5" sqref="A5"/>
      <selection pane="bottomRight" sqref="A1:F1"/>
    </sheetView>
  </sheetViews>
  <sheetFormatPr defaultColWidth="8.6640625" defaultRowHeight="14.4" x14ac:dyDescent="0.3"/>
  <cols>
    <col min="1" max="1" width="1" style="15" customWidth="1"/>
    <col min="2" max="5" width="29.77734375" style="15" customWidth="1"/>
    <col min="6" max="6" width="1" style="15" customWidth="1"/>
  </cols>
  <sheetData>
    <row r="1" spans="1:6" ht="49.8" customHeight="1" x14ac:dyDescent="0.3">
      <c r="A1" s="139" t="s">
        <v>74</v>
      </c>
      <c r="B1" s="139"/>
      <c r="C1" s="139"/>
      <c r="D1" s="139"/>
      <c r="E1" s="139"/>
      <c r="F1" s="139"/>
    </row>
    <row r="2" spans="1:6" ht="15.75" customHeight="1" x14ac:dyDescent="0.3">
      <c r="A2" s="166" t="s">
        <v>75</v>
      </c>
      <c r="B2" s="166"/>
      <c r="C2" s="166"/>
      <c r="D2" s="166"/>
      <c r="E2" s="166"/>
      <c r="F2" s="166"/>
    </row>
    <row r="3" spans="1:6" ht="9.75" customHeight="1" x14ac:dyDescent="0.3">
      <c r="A3" s="10"/>
      <c r="B3" s="10"/>
      <c r="C3" s="10"/>
      <c r="D3" s="10"/>
      <c r="E3" s="10"/>
      <c r="F3" s="10"/>
    </row>
    <row r="4" spans="1:6" ht="30" customHeight="1" x14ac:dyDescent="0.3">
      <c r="A4" s="16"/>
      <c r="B4" s="20" t="s">
        <v>36</v>
      </c>
      <c r="C4" s="20" t="s">
        <v>76</v>
      </c>
      <c r="D4" s="21" t="s">
        <v>77</v>
      </c>
      <c r="E4" s="22" t="s">
        <v>78</v>
      </c>
      <c r="F4" s="16"/>
    </row>
    <row r="5" spans="1:6" ht="57.6" customHeight="1" x14ac:dyDescent="0.3">
      <c r="A5" s="17"/>
      <c r="B5" s="23" t="s">
        <v>79</v>
      </c>
      <c r="C5" s="24" t="s">
        <v>80</v>
      </c>
      <c r="D5" s="25" t="s">
        <v>81</v>
      </c>
      <c r="E5" s="26" t="s">
        <v>82</v>
      </c>
      <c r="F5" s="18"/>
    </row>
    <row r="6" spans="1:6" ht="55.8" customHeight="1" x14ac:dyDescent="0.3">
      <c r="A6" s="17"/>
      <c r="B6" s="23" t="s">
        <v>83</v>
      </c>
      <c r="C6" s="24" t="s">
        <v>84</v>
      </c>
      <c r="D6" s="25" t="s">
        <v>85</v>
      </c>
      <c r="E6" s="26" t="s">
        <v>86</v>
      </c>
      <c r="F6" s="18"/>
    </row>
    <row r="7" spans="1:6" ht="57" customHeight="1" x14ac:dyDescent="0.3">
      <c r="A7" s="17"/>
      <c r="B7" s="23" t="s">
        <v>87</v>
      </c>
      <c r="C7" s="24" t="s">
        <v>88</v>
      </c>
      <c r="D7" s="25" t="s">
        <v>89</v>
      </c>
      <c r="E7" s="26" t="s">
        <v>90</v>
      </c>
      <c r="F7" s="18"/>
    </row>
    <row r="8" spans="1:6" ht="59.4" customHeight="1" x14ac:dyDescent="0.3">
      <c r="A8" s="17"/>
      <c r="B8" s="23" t="s">
        <v>91</v>
      </c>
      <c r="C8" s="24" t="s">
        <v>92</v>
      </c>
      <c r="D8" s="25" t="s">
        <v>93</v>
      </c>
      <c r="E8" s="26" t="s">
        <v>94</v>
      </c>
      <c r="F8" s="18"/>
    </row>
    <row r="9" spans="1:6" ht="59.4" customHeight="1" x14ac:dyDescent="0.3">
      <c r="A9" s="17"/>
      <c r="B9" s="23" t="s">
        <v>95</v>
      </c>
      <c r="C9" s="24" t="s">
        <v>96</v>
      </c>
      <c r="D9" s="25" t="s">
        <v>97</v>
      </c>
      <c r="E9" s="26" t="s">
        <v>98</v>
      </c>
      <c r="F9" s="18"/>
    </row>
    <row r="10" spans="1:6" ht="70.2" customHeight="1" x14ac:dyDescent="0.3">
      <c r="A10" s="17"/>
      <c r="B10" s="23" t="s">
        <v>99</v>
      </c>
      <c r="C10" s="24" t="s">
        <v>100</v>
      </c>
      <c r="D10" s="25" t="s">
        <v>101</v>
      </c>
      <c r="E10" s="26" t="s">
        <v>102</v>
      </c>
      <c r="F10" s="18"/>
    </row>
    <row r="11" spans="1:6" ht="61.2" customHeight="1" x14ac:dyDescent="0.3">
      <c r="A11" s="17"/>
      <c r="B11" s="23" t="s">
        <v>103</v>
      </c>
      <c r="C11" s="24" t="s">
        <v>104</v>
      </c>
      <c r="D11" s="25" t="s">
        <v>105</v>
      </c>
      <c r="E11" s="26" t="s">
        <v>106</v>
      </c>
      <c r="F11" s="18"/>
    </row>
    <row r="12" spans="1:6" ht="58.2" customHeight="1" x14ac:dyDescent="0.3">
      <c r="A12" s="17"/>
      <c r="B12" s="23" t="s">
        <v>107</v>
      </c>
      <c r="C12" s="24" t="s">
        <v>108</v>
      </c>
      <c r="D12" s="25" t="s">
        <v>109</v>
      </c>
      <c r="E12" s="26" t="s">
        <v>110</v>
      </c>
      <c r="F12" s="18"/>
    </row>
    <row r="13" spans="1:6" ht="57.6" customHeight="1" x14ac:dyDescent="0.3">
      <c r="A13" s="17"/>
      <c r="B13" s="23" t="s">
        <v>111</v>
      </c>
      <c r="C13" s="24" t="s">
        <v>112</v>
      </c>
      <c r="D13" s="25" t="s">
        <v>113</v>
      </c>
      <c r="E13" s="26" t="s">
        <v>114</v>
      </c>
      <c r="F13" s="18"/>
    </row>
    <row r="14" spans="1:6" ht="61.2" customHeight="1" x14ac:dyDescent="0.3">
      <c r="A14" s="17"/>
      <c r="B14" s="23" t="s">
        <v>115</v>
      </c>
      <c r="C14" s="24" t="s">
        <v>116</v>
      </c>
      <c r="D14" s="25" t="s">
        <v>117</v>
      </c>
      <c r="E14" s="26" t="s">
        <v>118</v>
      </c>
      <c r="F14" s="18"/>
    </row>
    <row r="15" spans="1:6" ht="25.5" customHeight="1" x14ac:dyDescent="0.3">
      <c r="A15" s="167" t="s">
        <v>119</v>
      </c>
      <c r="B15" s="167"/>
      <c r="C15" s="167"/>
      <c r="D15" s="167"/>
      <c r="E15" s="167"/>
      <c r="F15" s="167"/>
    </row>
    <row r="16" spans="1:6" ht="7.5" customHeight="1" x14ac:dyDescent="0.3">
      <c r="A16" s="10"/>
      <c r="B16" s="10"/>
      <c r="C16" s="10"/>
      <c r="D16" s="10"/>
      <c r="E16" s="10"/>
      <c r="F16" s="10"/>
    </row>
    <row r="17" spans="1:6" ht="30" customHeight="1" x14ac:dyDescent="0.3">
      <c r="A17" s="163" t="s">
        <v>120</v>
      </c>
      <c r="B17" s="163"/>
      <c r="C17" s="163"/>
      <c r="D17" s="163"/>
      <c r="E17" s="163"/>
      <c r="F17" s="163"/>
    </row>
    <row r="19" spans="1:6" ht="18" customHeight="1" x14ac:dyDescent="0.3">
      <c r="A19" s="164" t="s">
        <v>72</v>
      </c>
      <c r="B19" s="164"/>
      <c r="C19" s="164"/>
      <c r="D19" s="164"/>
      <c r="E19" s="164"/>
      <c r="F19" s="164"/>
    </row>
    <row r="20" spans="1:6" ht="15" customHeight="1" x14ac:dyDescent="0.3">
      <c r="A20" s="165" t="s">
        <v>73</v>
      </c>
      <c r="B20" s="165"/>
      <c r="C20" s="165"/>
      <c r="D20" s="165"/>
      <c r="E20" s="165"/>
      <c r="F20" s="165"/>
    </row>
  </sheetData>
  <sheetProtection algorithmName="SHA-512" hashValue="7I+krIatiCU6urNd3gMb1bQWtPK3Q9c98u5Gd16A3OhDoa0UHyHsOtdCOmCao7KTsjMFO7sVorW40VwddTYj3w==" saltValue="YLYRAuDhZFHv5dbnAJUKsA==" spinCount="100000" sheet="1" objects="1" scenarios="1"/>
  <mergeCells count="8">
    <mergeCell ref="A17:F17"/>
    <mergeCell ref="A19:F19"/>
    <mergeCell ref="A20:F20"/>
    <mergeCell ref="A1:F1"/>
    <mergeCell ref="A2:F2"/>
    <mergeCell ref="A3:F3"/>
    <mergeCell ref="A15:F15"/>
    <mergeCell ref="A16:F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G41"/>
  <sheetViews>
    <sheetView showGridLines="0" zoomScaleNormal="100" workbookViewId="0">
      <pane xSplit="1" ySplit="4" topLeftCell="B5" activePane="bottomRight" state="frozen"/>
      <selection pane="topRight" activeCell="B1" sqref="B1"/>
      <selection pane="bottomLeft" activeCell="A5" sqref="A5"/>
      <selection pane="bottomRight" sqref="A1:G1"/>
    </sheetView>
  </sheetViews>
  <sheetFormatPr defaultColWidth="8.6640625" defaultRowHeight="14.4" x14ac:dyDescent="0.3"/>
  <cols>
    <col min="1" max="1" width="1" style="15" customWidth="1"/>
    <col min="2" max="2" width="20" style="15" customWidth="1"/>
    <col min="3" max="3" width="12.109375" style="15" bestFit="1" customWidth="1"/>
    <col min="4" max="4" width="22" style="15" customWidth="1"/>
    <col min="5" max="5" width="28" style="15" customWidth="1"/>
    <col min="6" max="6" width="30" style="15" customWidth="1"/>
    <col min="7" max="7" width="1" style="15" customWidth="1"/>
  </cols>
  <sheetData>
    <row r="1" spans="1:7" ht="32.4" customHeight="1" x14ac:dyDescent="0.3">
      <c r="A1" s="168" t="s">
        <v>121</v>
      </c>
      <c r="B1" s="168"/>
      <c r="C1" s="168"/>
      <c r="D1" s="168"/>
      <c r="E1" s="168"/>
      <c r="F1" s="168"/>
      <c r="G1" s="168"/>
    </row>
    <row r="2" spans="1:7" ht="16.2" customHeight="1" x14ac:dyDescent="0.3">
      <c r="A2" s="166" t="s">
        <v>122</v>
      </c>
      <c r="B2" s="166"/>
      <c r="C2" s="166"/>
      <c r="D2" s="166"/>
      <c r="E2" s="166"/>
      <c r="F2" s="166"/>
      <c r="G2" s="166"/>
    </row>
    <row r="3" spans="1:7" ht="30.6" customHeight="1" x14ac:dyDescent="0.3">
      <c r="A3" s="169" t="s">
        <v>123</v>
      </c>
      <c r="B3" s="169"/>
      <c r="C3" s="169"/>
      <c r="D3" s="169"/>
      <c r="E3" s="169"/>
      <c r="F3" s="169"/>
      <c r="G3" s="169"/>
    </row>
    <row r="4" spans="1:7" ht="9.75" customHeight="1" x14ac:dyDescent="0.3">
      <c r="A4" s="10"/>
      <c r="B4" s="10"/>
      <c r="C4" s="10"/>
      <c r="D4" s="10"/>
      <c r="E4" s="10"/>
      <c r="F4" s="10"/>
      <c r="G4" s="10"/>
    </row>
    <row r="5" spans="1:7" ht="25.5" customHeight="1" x14ac:dyDescent="0.3">
      <c r="A5" s="160" t="s">
        <v>124</v>
      </c>
      <c r="B5" s="160"/>
      <c r="C5" s="160"/>
      <c r="D5" s="160"/>
      <c r="E5" s="160"/>
      <c r="F5" s="160"/>
      <c r="G5" s="160"/>
    </row>
    <row r="6" spans="1:7" ht="27.75" customHeight="1" x14ac:dyDescent="0.3">
      <c r="B6" s="27" t="s">
        <v>125</v>
      </c>
      <c r="C6" s="27" t="s">
        <v>126</v>
      </c>
      <c r="D6" s="170"/>
      <c r="E6" s="170"/>
    </row>
    <row r="7" spans="1:7" ht="39.75" customHeight="1" x14ac:dyDescent="0.3">
      <c r="A7" s="19"/>
      <c r="B7" s="28" t="s">
        <v>127</v>
      </c>
      <c r="C7" s="29" t="s">
        <v>128</v>
      </c>
      <c r="D7" s="162" t="s">
        <v>129</v>
      </c>
      <c r="E7" s="162"/>
      <c r="F7" s="162"/>
      <c r="G7" s="19"/>
    </row>
    <row r="8" spans="1:7" ht="39.75" customHeight="1" x14ac:dyDescent="0.3">
      <c r="A8" s="17"/>
      <c r="B8" s="30" t="s">
        <v>130</v>
      </c>
      <c r="C8" s="31" t="s">
        <v>131</v>
      </c>
      <c r="D8" s="162" t="s">
        <v>132</v>
      </c>
      <c r="E8" s="162"/>
      <c r="F8" s="162"/>
      <c r="G8" s="17"/>
    </row>
    <row r="9" spans="1:7" ht="39.75" customHeight="1" x14ac:dyDescent="0.3">
      <c r="A9" s="18"/>
      <c r="B9" s="32" t="s">
        <v>133</v>
      </c>
      <c r="C9" s="33" t="s">
        <v>134</v>
      </c>
      <c r="D9" s="162" t="s">
        <v>135</v>
      </c>
      <c r="E9" s="162"/>
      <c r="F9" s="162"/>
      <c r="G9" s="18"/>
    </row>
    <row r="10" spans="1:7" ht="39.75" customHeight="1" x14ac:dyDescent="0.3">
      <c r="A10" s="34"/>
      <c r="B10" s="35" t="s">
        <v>136</v>
      </c>
      <c r="C10" s="36" t="s">
        <v>137</v>
      </c>
      <c r="D10" s="162" t="s">
        <v>138</v>
      </c>
      <c r="E10" s="162"/>
      <c r="F10" s="162"/>
      <c r="G10" s="34"/>
    </row>
    <row r="11" spans="1:7" ht="39.75" customHeight="1" x14ac:dyDescent="0.3">
      <c r="A11" s="37"/>
      <c r="B11" s="38" t="s">
        <v>139</v>
      </c>
      <c r="C11" s="39" t="s">
        <v>140</v>
      </c>
      <c r="D11" s="162" t="s">
        <v>141</v>
      </c>
      <c r="E11" s="162"/>
      <c r="F11" s="162"/>
      <c r="G11" s="37"/>
    </row>
    <row r="12" spans="1:7" ht="39.75" customHeight="1" x14ac:dyDescent="0.3">
      <c r="A12" s="40"/>
      <c r="B12" s="41" t="s">
        <v>142</v>
      </c>
      <c r="C12" s="42" t="s">
        <v>143</v>
      </c>
      <c r="D12" s="162" t="s">
        <v>144</v>
      </c>
      <c r="E12" s="162"/>
      <c r="F12" s="162"/>
      <c r="G12" s="40"/>
    </row>
    <row r="13" spans="1:7" ht="39.75" customHeight="1" x14ac:dyDescent="0.3">
      <c r="A13" s="43"/>
      <c r="B13" s="44" t="s">
        <v>145</v>
      </c>
      <c r="C13" s="45" t="s">
        <v>146</v>
      </c>
      <c r="D13" s="162" t="s">
        <v>147</v>
      </c>
      <c r="E13" s="162"/>
      <c r="F13" s="162"/>
      <c r="G13" s="43"/>
    </row>
    <row r="14" spans="1:7" ht="39.75" customHeight="1" x14ac:dyDescent="0.3">
      <c r="A14" s="46"/>
      <c r="B14" s="47" t="s">
        <v>148</v>
      </c>
      <c r="C14" s="48" t="s">
        <v>149</v>
      </c>
      <c r="D14" s="162" t="s">
        <v>150</v>
      </c>
      <c r="E14" s="162"/>
      <c r="F14" s="162"/>
      <c r="G14" s="46"/>
    </row>
    <row r="15" spans="1:7" ht="9.75" customHeight="1" x14ac:dyDescent="0.3">
      <c r="A15" s="10"/>
      <c r="B15" s="10"/>
      <c r="C15" s="10"/>
      <c r="D15" s="10"/>
      <c r="E15" s="10"/>
      <c r="F15" s="10"/>
      <c r="G15" s="10"/>
    </row>
    <row r="16" spans="1:7" ht="25.5" customHeight="1" x14ac:dyDescent="0.3">
      <c r="A16" s="171" t="s">
        <v>151</v>
      </c>
      <c r="B16" s="171"/>
      <c r="C16" s="171"/>
      <c r="D16" s="171"/>
      <c r="E16" s="171"/>
      <c r="F16" s="171"/>
      <c r="G16" s="171"/>
    </row>
    <row r="17" spans="1:7" ht="27.75" customHeight="1" x14ac:dyDescent="0.3">
      <c r="A17" s="43"/>
      <c r="B17" s="27" t="s">
        <v>125</v>
      </c>
      <c r="C17" s="49" t="s">
        <v>152</v>
      </c>
      <c r="D17" s="50" t="s">
        <v>153</v>
      </c>
      <c r="E17" s="50" t="s">
        <v>154</v>
      </c>
      <c r="F17" s="43"/>
    </row>
    <row r="18" spans="1:7" ht="51.75" customHeight="1" x14ac:dyDescent="0.3">
      <c r="A18" s="19"/>
      <c r="B18" s="51" t="s">
        <v>155</v>
      </c>
      <c r="C18" s="52" t="str">
        <f>IFERROR(INDEX('Employee Master'!B$4:B$23,MATCH("E-1001",'Employee Master'!A$4:A$23,0)),"Not Found")</f>
        <v>Anderson</v>
      </c>
      <c r="D18" s="53" t="s">
        <v>156</v>
      </c>
      <c r="E18" s="172" t="s">
        <v>157</v>
      </c>
      <c r="F18" s="172"/>
      <c r="G18" s="19"/>
    </row>
    <row r="19" spans="1:7" ht="51.75" customHeight="1" x14ac:dyDescent="0.3">
      <c r="A19" s="19"/>
      <c r="B19" s="51" t="s">
        <v>158</v>
      </c>
      <c r="C19" s="54">
        <f>IFERROR(INDEX('Employee Master'!I$4:I$23,MATCH("E-1003",'Employee Master'!A$4:A$23,0)),0)</f>
        <v>125000</v>
      </c>
      <c r="D19" s="53" t="s">
        <v>159</v>
      </c>
      <c r="E19" s="172" t="s">
        <v>160</v>
      </c>
      <c r="F19" s="172"/>
      <c r="G19" s="19"/>
    </row>
    <row r="20" spans="1:7" ht="51.75" customHeight="1" x14ac:dyDescent="0.3">
      <c r="A20" s="19"/>
      <c r="B20" s="51" t="s">
        <v>161</v>
      </c>
      <c r="C20" s="54">
        <f>IFERROR(INDEX('Employee Master'!J$4:J$23,MATCH("E-1009",'Employee Master'!A$4:A$23,0)),0)</f>
        <v>24.5</v>
      </c>
      <c r="D20" s="53" t="s">
        <v>162</v>
      </c>
      <c r="E20" s="172" t="s">
        <v>163</v>
      </c>
      <c r="F20" s="172"/>
      <c r="G20" s="19"/>
    </row>
    <row r="21" spans="1:7" ht="51.75" customHeight="1" x14ac:dyDescent="0.3">
      <c r="A21" s="17"/>
      <c r="B21" s="55" t="s">
        <v>164</v>
      </c>
      <c r="C21" s="54">
        <f>IF(INDEX('Employee Master'!G$4:G$23,MATCH("E-1001",'Employee Master'!A$4:A$23,0))="Salary",INDEX('Employee Master'!I$4:I$23,MATCH("E-1001",'Employee Master'!A$4:A$23,0))/26,INDEX('Employee Master'!J$4:J$23,MATCH("E-1001",'Employee Master'!A$4:A$23,0))*80)</f>
        <v>4423.0769230769229</v>
      </c>
      <c r="D21" s="53" t="s">
        <v>165</v>
      </c>
      <c r="E21" s="172" t="s">
        <v>166</v>
      </c>
      <c r="F21" s="172"/>
      <c r="G21" s="17"/>
    </row>
    <row r="22" spans="1:7" ht="51.75" customHeight="1" x14ac:dyDescent="0.3">
      <c r="A22" s="17"/>
      <c r="B22" s="55" t="s">
        <v>167</v>
      </c>
      <c r="C22" s="54">
        <f>IFERROR(INDEX('Employee Master'!J$4:J$23,MATCH("E-1009",'Employee Master'!A$4:A$23,0))*5.5*0.5,0)</f>
        <v>67.375</v>
      </c>
      <c r="D22" s="53" t="s">
        <v>168</v>
      </c>
      <c r="E22" s="172" t="s">
        <v>169</v>
      </c>
      <c r="F22" s="172"/>
      <c r="G22" s="17"/>
    </row>
    <row r="23" spans="1:7" ht="93.6" customHeight="1" x14ac:dyDescent="0.3">
      <c r="A23" s="17"/>
      <c r="B23" s="56" t="s">
        <v>170</v>
      </c>
      <c r="C23" s="54">
        <f>IFERROR(IF((INDEX('Payroll Register'!M$4:M$23,MATCH("E-1001",'Payroll Register'!A$4:A$23,0))*26)&lt;=14600,(INDEX('Payroll Register'!M$4:M$23,MATCH("E-1001",'Payroll Register'!A$4:A$23,0))*26)*0.1,IF((INDEX('Payroll Register'!M$4:M$23,MATCH("E-1001",'Payroll Register'!A$4:A$23,0))*26)&lt;=57750,1460+((INDEX('Payroll Register'!M$4:M$23,MATCH("E-1001",'Payroll Register'!A$4:A$23,0))*26)-14600)*0.12,IF((INDEX('Payroll Register'!M$4:M$23,MATCH("E-1001",'Payroll Register'!A$4:A$23,0))*26)&lt;=113600,6628+((INDEX('Payroll Register'!M$4:M$23,MATCH("E-1001",'Payroll Register'!A$4:A$23,0))*26)-57750)*0.22,18914+((INDEX('Payroll Register'!M$4:M$23,MATCH("E-1001",'Payroll Register'!A$4:A$23,0))*26)-113600)*0.24)))/26,0)</f>
        <v>740.38461538461536</v>
      </c>
      <c r="D23" s="53" t="s">
        <v>171</v>
      </c>
      <c r="E23" s="172" t="s">
        <v>172</v>
      </c>
      <c r="F23" s="172"/>
      <c r="G23" s="17"/>
    </row>
    <row r="24" spans="1:7" ht="93" customHeight="1" x14ac:dyDescent="0.3">
      <c r="A24" s="17"/>
      <c r="B24" s="56" t="s">
        <v>173</v>
      </c>
      <c r="C24" s="54">
        <f>IFERROR(IF((INDEX('Payroll Register'!M$4:M$23,MATCH("E-1005",'Payroll Register'!A$4:A$23,0))*26)&lt;=7300,(INDEX('Payroll Register'!M$4:M$23,MATCH("E-1005",'Payroll Register'!A$4:A$23,0))*26)*0.1,IF((INDEX('Payroll Register'!M$4:M$23,MATCH("E-1005",'Payroll Register'!A$4:A$23,0))*26)&lt;=28875,730+((INDEX('Payroll Register'!M$4:M$23,MATCH("E-1005",'Payroll Register'!A$4:A$23,0))*26)-7300)*0.12,IF((INDEX('Payroll Register'!M$4:M$23,MATCH("E-1005",'Payroll Register'!A$4:A$23,0))*26)&lt;=56875,3319+((INDEX('Payroll Register'!M$4:M$23,MATCH("E-1005",'Payroll Register'!A$4:A$23,0))*26)-28875)*0.22,9479+((INDEX('Payroll Register'!M$4:M$23,MATCH("E-1005",'Payroll Register'!A$4:A$23,0))*26)-56875)*0.24)))/26,0)</f>
        <v>348.71153846153845</v>
      </c>
      <c r="D24" s="53" t="s">
        <v>174</v>
      </c>
      <c r="E24" s="172" t="s">
        <v>175</v>
      </c>
      <c r="F24" s="172"/>
      <c r="G24" s="17"/>
    </row>
    <row r="25" spans="1:7" ht="57" customHeight="1" x14ac:dyDescent="0.3">
      <c r="A25" s="37"/>
      <c r="B25" s="57" t="s">
        <v>176</v>
      </c>
      <c r="C25" s="54">
        <f>ROUND(IFERROR(INDEX('Payroll Register'!M$4:M$23,MATCH("E-1001",'Payroll Register'!A$4:A$23,0)),0)*0.062,2)</f>
        <v>274.23</v>
      </c>
      <c r="D25" s="53" t="s">
        <v>177</v>
      </c>
      <c r="E25" s="172" t="s">
        <v>178</v>
      </c>
      <c r="F25" s="172"/>
      <c r="G25" s="37"/>
    </row>
    <row r="26" spans="1:7" ht="51.75" customHeight="1" x14ac:dyDescent="0.3">
      <c r="A26" s="37"/>
      <c r="B26" s="57" t="s">
        <v>179</v>
      </c>
      <c r="C26" s="54">
        <f>ROUND(IFERROR(INDEX('Payroll Register'!M$4:M$23,MATCH("E-1001",'Payroll Register'!A$4:A$23,0)),0)*0.0145,2)</f>
        <v>64.13</v>
      </c>
      <c r="D26" s="53" t="s">
        <v>180</v>
      </c>
      <c r="E26" s="172" t="s">
        <v>181</v>
      </c>
      <c r="F26" s="172"/>
      <c r="G26" s="37"/>
    </row>
    <row r="27" spans="1:7" ht="57.6" customHeight="1" x14ac:dyDescent="0.3">
      <c r="A27" s="37"/>
      <c r="B27" s="57" t="s">
        <v>182</v>
      </c>
      <c r="C27" s="54">
        <f>ROUND(IFERROR(INDEX('Payroll Register'!M$4:M$23,MATCH("E-1001",'Payroll Register'!A$4:A$23,0)),0)*INDEX('Employee Master'!N$4:N$23,MATCH("E-1001",'Employee Master'!A$4:A$23,0)),2)</f>
        <v>242.83</v>
      </c>
      <c r="D27" s="53" t="s">
        <v>183</v>
      </c>
      <c r="E27" s="172" t="s">
        <v>184</v>
      </c>
      <c r="F27" s="172"/>
      <c r="G27" s="37"/>
    </row>
    <row r="28" spans="1:7" ht="55.8" customHeight="1" x14ac:dyDescent="0.3">
      <c r="A28" s="18"/>
      <c r="B28" s="58" t="s">
        <v>185</v>
      </c>
      <c r="C28" s="54">
        <f>SUMIFS('Payroll Register'!M$4:M$23,'Payroll Register'!D$4:D$23,"Finance")</f>
        <v>9692.3076923076915</v>
      </c>
      <c r="D28" s="53" t="s">
        <v>186</v>
      </c>
      <c r="E28" s="172" t="s">
        <v>187</v>
      </c>
      <c r="F28" s="172"/>
      <c r="G28" s="18"/>
    </row>
    <row r="29" spans="1:7" ht="59.4" customHeight="1" x14ac:dyDescent="0.3">
      <c r="A29" s="18"/>
      <c r="B29" s="58" t="s">
        <v>188</v>
      </c>
      <c r="C29" s="54">
        <f>SUMIFS('Payroll Register'!R$4:R$23,'Payroll Register'!D$4:D$23,"Information Technology")</f>
        <v>3571.1876923076925</v>
      </c>
      <c r="D29" s="53" t="s">
        <v>189</v>
      </c>
      <c r="E29" s="172" t="s">
        <v>190</v>
      </c>
      <c r="F29" s="172"/>
      <c r="G29" s="18"/>
    </row>
    <row r="30" spans="1:7" ht="90" customHeight="1" x14ac:dyDescent="0.3">
      <c r="A30" s="18"/>
      <c r="B30" s="58" t="s">
        <v>191</v>
      </c>
      <c r="C30" s="54">
        <f>SUMIFS('Prior YTD (Jan-May)'!E$4:E$23,'Prior YTD (Jan-May)'!A$4:A$23,"E-1015")+SUMIFS('Payroll Register'!M$4:M$23,'Payroll Register'!A$4:A$23,"E-1015")</f>
        <v>69384.61230769231</v>
      </c>
      <c r="D30" s="53" t="s">
        <v>192</v>
      </c>
      <c r="E30" s="172" t="s">
        <v>193</v>
      </c>
      <c r="F30" s="172"/>
      <c r="G30" s="18"/>
    </row>
    <row r="31" spans="1:7" ht="51.75" customHeight="1" x14ac:dyDescent="0.3">
      <c r="A31" s="18"/>
      <c r="B31" s="58" t="s">
        <v>194</v>
      </c>
      <c r="C31" s="54">
        <f>SUMIFS('Prior YTD (Jan-May)'!J$4:J$23,'Prior YTD (Jan-May)'!A$4:A$23,"E-1003")+SUMIFS('Payroll Register'!R$4:R$23,'Payroll Register'!A$4:A$23,"E-1003")</f>
        <v>16108.652307692308</v>
      </c>
      <c r="D31" s="53" t="s">
        <v>195</v>
      </c>
      <c r="E31" s="172" t="s">
        <v>196</v>
      </c>
      <c r="F31" s="172"/>
      <c r="G31" s="18"/>
    </row>
    <row r="32" spans="1:7" ht="57" customHeight="1" x14ac:dyDescent="0.3">
      <c r="A32" s="40"/>
      <c r="B32" s="59" t="s">
        <v>197</v>
      </c>
      <c r="C32" s="60">
        <f>COUNTIF('Employee Master'!K$4:K$23,"Active")</f>
        <v>20</v>
      </c>
      <c r="D32" s="53" t="s">
        <v>198</v>
      </c>
      <c r="E32" s="172" t="s">
        <v>199</v>
      </c>
      <c r="F32" s="172"/>
      <c r="G32" s="40"/>
    </row>
    <row r="33" spans="1:7" ht="57.6" customHeight="1" x14ac:dyDescent="0.3">
      <c r="A33" s="40"/>
      <c r="B33" s="59" t="s">
        <v>200</v>
      </c>
      <c r="C33" s="60">
        <f>COUNTIF('Payroll Register'!D$4:D$23,"Sales")</f>
        <v>4</v>
      </c>
      <c r="D33" s="53" t="s">
        <v>201</v>
      </c>
      <c r="E33" s="172" t="s">
        <v>202</v>
      </c>
      <c r="F33" s="172"/>
      <c r="G33" s="40"/>
    </row>
    <row r="34" spans="1:7" ht="55.2" customHeight="1" x14ac:dyDescent="0.3">
      <c r="A34" s="34"/>
      <c r="B34" s="61" t="s">
        <v>203</v>
      </c>
      <c r="C34" s="52" t="str">
        <f>IFERROR(INDEX('Employee Master'!B$4:B$23,MATCH("E-9999",'Employee Master'!A$4:A$23,0)),"Employee Not Found")</f>
        <v>Employee Not Found</v>
      </c>
      <c r="D34" s="53" t="s">
        <v>204</v>
      </c>
      <c r="E34" s="172" t="s">
        <v>205</v>
      </c>
      <c r="F34" s="172"/>
      <c r="G34" s="34"/>
    </row>
    <row r="35" spans="1:7" ht="57" customHeight="1" x14ac:dyDescent="0.3">
      <c r="A35" s="34"/>
      <c r="B35" s="61" t="s">
        <v>206</v>
      </c>
      <c r="C35" s="54">
        <f>IFERROR(INDEX('Employee Master'!O$4:O$23,MATCH("E-1008",'Employee Master'!A$4:A$23,0))/26,0)</f>
        <v>11.346153846153847</v>
      </c>
      <c r="D35" s="53" t="s">
        <v>207</v>
      </c>
      <c r="E35" s="172" t="s">
        <v>208</v>
      </c>
      <c r="F35" s="172"/>
      <c r="G35" s="34"/>
    </row>
    <row r="36" spans="1:7" ht="57.6" customHeight="1" x14ac:dyDescent="0.3">
      <c r="A36" s="43"/>
      <c r="B36" s="62" t="s">
        <v>209</v>
      </c>
      <c r="C36" s="54">
        <f>IFERROR(INDEX('Payroll Register'!I$4:I$23,MATCH("E-1015",'Payroll Register'!A$4:A$23,0))+INDEX('Payroll Register'!J$4:J$23,MATCH("E-1015",'Payroll Register'!A$4:A$23,0))+INDEX('Payroll Register'!K$4:K$23,MATCH("E-1015",'Payroll Register'!A$4:A$23,0))+INDEX('Payroll Register'!L$4:L$23,MATCH("E-1015",'Payroll Register'!A$4:A$23,0)),0)</f>
        <v>7807.6923076923076</v>
      </c>
      <c r="D36" s="53" t="s">
        <v>210</v>
      </c>
      <c r="E36" s="172" t="s">
        <v>211</v>
      </c>
      <c r="F36" s="172"/>
      <c r="G36" s="43"/>
    </row>
    <row r="37" spans="1:7" ht="57" customHeight="1" x14ac:dyDescent="0.3">
      <c r="A37" s="43"/>
      <c r="B37" s="62" t="s">
        <v>212</v>
      </c>
      <c r="C37" s="54">
        <f>IFERROR(INDEX('Payroll Register'!M$4:M$23,MATCH("E-1001",'Payroll Register'!A$4:A$23,0))-INDEX('Payroll Register'!R$4:R$23,MATCH("E-1001",'Payroll Register'!A$4:A$23,0))-INDEX('Payroll Register'!X$4:X$23,MATCH("E-1001",'Payroll Register'!A$4:A$23,0)),0)</f>
        <v>2801.1223076923075</v>
      </c>
      <c r="D37" s="53" t="s">
        <v>213</v>
      </c>
      <c r="E37" s="172" t="s">
        <v>214</v>
      </c>
      <c r="F37" s="172"/>
      <c r="G37" s="43"/>
    </row>
    <row r="39" spans="1:7" ht="7.5" customHeight="1" x14ac:dyDescent="0.3">
      <c r="A39" s="10"/>
      <c r="B39" s="10"/>
      <c r="C39" s="10"/>
      <c r="D39" s="10"/>
      <c r="E39" s="10"/>
      <c r="F39" s="10"/>
      <c r="G39" s="10"/>
    </row>
    <row r="40" spans="1:7" ht="18" customHeight="1" x14ac:dyDescent="0.3">
      <c r="A40" s="164" t="s">
        <v>72</v>
      </c>
      <c r="B40" s="164"/>
      <c r="C40" s="164"/>
      <c r="D40" s="164"/>
      <c r="E40" s="164"/>
      <c r="F40" s="164"/>
      <c r="G40" s="164"/>
    </row>
    <row r="41" spans="1:7" ht="13.5" customHeight="1" x14ac:dyDescent="0.3">
      <c r="A41" s="165" t="s">
        <v>215</v>
      </c>
      <c r="B41" s="165"/>
      <c r="C41" s="165"/>
      <c r="D41" s="165"/>
      <c r="E41" s="165"/>
      <c r="F41" s="165"/>
      <c r="G41" s="165"/>
    </row>
  </sheetData>
  <sheetProtection algorithmName="SHA-512" hashValue="Ph9yKgvKEQ2+hj5d+WoRbzss1RiAu7LDy/yQlPU9aSLVaQDnl54UDjFLMbfbjlh11vbq3J69SXIUezo/SzIW7Q==" saltValue="oUe+Rjl7FenwNc928sMd7Q==" spinCount="100000" sheet="1" objects="1" scenarios="1"/>
  <mergeCells count="39">
    <mergeCell ref="E37:F37"/>
    <mergeCell ref="A39:G39"/>
    <mergeCell ref="A40:G40"/>
    <mergeCell ref="A41:G41"/>
    <mergeCell ref="E32:F32"/>
    <mergeCell ref="E33:F33"/>
    <mergeCell ref="E34:F34"/>
    <mergeCell ref="E35:F35"/>
    <mergeCell ref="E36:F36"/>
    <mergeCell ref="E27:F27"/>
    <mergeCell ref="E28:F28"/>
    <mergeCell ref="E29:F29"/>
    <mergeCell ref="E30:F30"/>
    <mergeCell ref="E31:F31"/>
    <mergeCell ref="E22:F22"/>
    <mergeCell ref="E23:F23"/>
    <mergeCell ref="E24:F24"/>
    <mergeCell ref="E25:F25"/>
    <mergeCell ref="E26:F26"/>
    <mergeCell ref="A16:G16"/>
    <mergeCell ref="E18:F18"/>
    <mergeCell ref="E19:F19"/>
    <mergeCell ref="E20:F20"/>
    <mergeCell ref="E21:F21"/>
    <mergeCell ref="D11:F11"/>
    <mergeCell ref="D12:F12"/>
    <mergeCell ref="D13:F13"/>
    <mergeCell ref="D14:F14"/>
    <mergeCell ref="A15:G15"/>
    <mergeCell ref="D6:E6"/>
    <mergeCell ref="D7:F7"/>
    <mergeCell ref="D8:F8"/>
    <mergeCell ref="D9:F9"/>
    <mergeCell ref="D10:F10"/>
    <mergeCell ref="A1:G1"/>
    <mergeCell ref="A2:G2"/>
    <mergeCell ref="A3:G3"/>
    <mergeCell ref="A4:G4"/>
    <mergeCell ref="A5:G5"/>
  </mergeCells>
  <pageMargins left="0.75" right="0.75" top="1" bottom="1" header="0.511811023622047" footer="0.511811023622047"/>
  <pageSetup paperSize="9" orientation="portrait" horizontalDpi="300" verticalDpi="300"/>
  <ignoredErrors>
    <ignoredError sqref="C8:C1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M21"/>
  <sheetViews>
    <sheetView showGridLines="0" zoomScaleNormal="100" workbookViewId="0">
      <selection sqref="A1:M1"/>
    </sheetView>
  </sheetViews>
  <sheetFormatPr defaultColWidth="8.6640625" defaultRowHeight="14.4" x14ac:dyDescent="0.3"/>
  <cols>
    <col min="1" max="1" width="26" style="15" customWidth="1"/>
    <col min="2" max="2" width="11" style="15" customWidth="1"/>
    <col min="3" max="3" width="14" style="15" customWidth="1"/>
    <col min="4" max="4" width="13" style="15" customWidth="1"/>
    <col min="5" max="6" width="14" style="15" customWidth="1"/>
    <col min="7" max="7" width="15.21875" style="15" customWidth="1"/>
    <col min="8" max="11" width="1" style="15" customWidth="1"/>
    <col min="12" max="12" width="14.21875" style="15" customWidth="1"/>
    <col min="13" max="13" width="10" style="15" customWidth="1"/>
  </cols>
  <sheetData>
    <row r="1" spans="1:13" ht="36" customHeight="1" x14ac:dyDescent="0.3">
      <c r="A1" s="173" t="s">
        <v>216</v>
      </c>
      <c r="B1" s="173"/>
      <c r="C1" s="173"/>
      <c r="D1" s="173"/>
      <c r="E1" s="173"/>
      <c r="F1" s="173"/>
      <c r="G1" s="173"/>
      <c r="H1" s="173"/>
      <c r="I1" s="173"/>
      <c r="J1" s="173"/>
      <c r="K1" s="173"/>
      <c r="L1" s="173"/>
      <c r="M1" s="173"/>
    </row>
    <row r="2" spans="1:13" ht="15.75" customHeight="1" x14ac:dyDescent="0.3">
      <c r="A2" s="174" t="s">
        <v>217</v>
      </c>
      <c r="B2" s="174"/>
      <c r="C2" s="174"/>
      <c r="D2" s="174"/>
      <c r="E2" s="174"/>
      <c r="F2" s="174"/>
      <c r="G2" s="174"/>
      <c r="H2" s="174"/>
      <c r="I2" s="174"/>
      <c r="J2" s="174"/>
      <c r="K2" s="174"/>
      <c r="L2" s="174"/>
      <c r="M2" s="174"/>
    </row>
    <row r="4" spans="1:13" ht="24.6" customHeight="1" x14ac:dyDescent="0.3">
      <c r="A4" s="175" t="s">
        <v>218</v>
      </c>
      <c r="B4" s="175"/>
      <c r="C4" s="175"/>
      <c r="D4" s="176" t="s">
        <v>219</v>
      </c>
      <c r="E4" s="176"/>
      <c r="F4" s="176"/>
      <c r="G4" s="177" t="s">
        <v>220</v>
      </c>
      <c r="H4" s="177"/>
      <c r="I4" s="177"/>
      <c r="J4" s="178" t="s">
        <v>221</v>
      </c>
      <c r="K4" s="178"/>
      <c r="L4" s="178"/>
      <c r="M4" s="63" t="s">
        <v>222</v>
      </c>
    </row>
    <row r="5" spans="1:13" ht="36" customHeight="1" x14ac:dyDescent="0.3">
      <c r="A5" s="179">
        <f>'Payroll Register'!M24</f>
        <v>63678.105769230766</v>
      </c>
      <c r="B5" s="179"/>
      <c r="C5" s="179"/>
      <c r="D5" s="180">
        <f>'Payroll Register'!Y24</f>
        <v>40164.220192307686</v>
      </c>
      <c r="E5" s="180"/>
      <c r="F5" s="180"/>
      <c r="G5" s="181">
        <f>'Payroll Register'!R24</f>
        <v>19263.954807692309</v>
      </c>
      <c r="H5" s="181"/>
      <c r="I5" s="181"/>
      <c r="J5" s="182">
        <f>'Payroll Register'!X24</f>
        <v>4249.9307692307684</v>
      </c>
      <c r="K5" s="182"/>
      <c r="L5" s="182"/>
      <c r="M5" s="64">
        <f>COUNTIF('Employee Master'!K4:K23,"Active")</f>
        <v>20</v>
      </c>
    </row>
    <row r="6" spans="1:13" ht="6" customHeight="1" x14ac:dyDescent="0.3">
      <c r="A6" s="183"/>
      <c r="B6" s="183"/>
      <c r="C6" s="183"/>
      <c r="D6" s="184"/>
      <c r="E6" s="184"/>
      <c r="F6" s="184"/>
      <c r="G6" s="185"/>
      <c r="H6" s="185"/>
      <c r="I6" s="185"/>
      <c r="J6" s="186"/>
      <c r="K6" s="186"/>
      <c r="L6" s="186"/>
      <c r="M6" s="65"/>
    </row>
    <row r="8" spans="1:13" ht="24" customHeight="1" x14ac:dyDescent="0.3">
      <c r="A8" s="167" t="s">
        <v>223</v>
      </c>
      <c r="B8" s="167"/>
      <c r="C8" s="167"/>
      <c r="D8" s="167"/>
      <c r="E8" s="167"/>
      <c r="F8" s="167"/>
      <c r="G8" s="167"/>
      <c r="H8" s="167"/>
      <c r="I8" s="167"/>
      <c r="J8" s="167"/>
      <c r="K8" s="167"/>
      <c r="L8" s="167"/>
      <c r="M8" s="167"/>
    </row>
    <row r="9" spans="1:13" ht="24" customHeight="1" x14ac:dyDescent="0.3">
      <c r="A9" s="27" t="s">
        <v>224</v>
      </c>
      <c r="B9" s="27" t="s">
        <v>225</v>
      </c>
      <c r="C9" s="27" t="s">
        <v>226</v>
      </c>
      <c r="D9" s="27" t="s">
        <v>227</v>
      </c>
      <c r="E9" s="27" t="s">
        <v>228</v>
      </c>
      <c r="F9" s="27" t="s">
        <v>229</v>
      </c>
      <c r="G9" s="27" t="s">
        <v>230</v>
      </c>
    </row>
    <row r="10" spans="1:13" ht="19.5" customHeight="1" x14ac:dyDescent="0.3">
      <c r="A10" s="66" t="s">
        <v>231</v>
      </c>
      <c r="B10" s="67">
        <f>'Dept Summary'!B4</f>
        <v>2</v>
      </c>
      <c r="C10" s="68">
        <f>'Dept Summary'!C4</f>
        <v>7423.0769230769229</v>
      </c>
      <c r="D10" s="68">
        <f>'Dept Summary'!H4</f>
        <v>2275.3515384615384</v>
      </c>
      <c r="E10" s="68">
        <f>'Dept Summary'!I4</f>
        <v>444.8030769230769</v>
      </c>
      <c r="F10" s="68">
        <f>'Dept Summary'!J4</f>
        <v>4702.9223076923072</v>
      </c>
      <c r="G10" s="69">
        <f>C10/'Dept Summary'!C10</f>
        <v>0.11657188657555437</v>
      </c>
    </row>
    <row r="11" spans="1:13" ht="19.5" customHeight="1" x14ac:dyDescent="0.3">
      <c r="A11" s="70" t="s">
        <v>232</v>
      </c>
      <c r="B11" s="71">
        <f>'Dept Summary'!B5</f>
        <v>3</v>
      </c>
      <c r="C11" s="72">
        <f>'Dept Summary'!C5</f>
        <v>9692.3076923076915</v>
      </c>
      <c r="D11" s="72">
        <f>'Dept Summary'!H5</f>
        <v>2959.146153846154</v>
      </c>
      <c r="E11" s="72">
        <f>'Dept Summary'!I5</f>
        <v>661.54</v>
      </c>
      <c r="F11" s="72">
        <f>'Dept Summary'!J5</f>
        <v>6071.621538461538</v>
      </c>
      <c r="G11" s="73">
        <f>C11/'Dept Summary'!C10</f>
        <v>0.15220785190176009</v>
      </c>
    </row>
    <row r="12" spans="1:13" ht="19.5" customHeight="1" x14ac:dyDescent="0.3">
      <c r="A12" s="66" t="s">
        <v>233</v>
      </c>
      <c r="B12" s="67">
        <f>'Dept Summary'!B6</f>
        <v>5</v>
      </c>
      <c r="C12" s="68">
        <f>'Dept Summary'!C6</f>
        <v>11663.221153846154</v>
      </c>
      <c r="D12" s="68">
        <f>'Dept Summary'!H6</f>
        <v>3404.2855769230764</v>
      </c>
      <c r="E12" s="68">
        <f>'Dept Summary'!I6</f>
        <v>604.41923076923081</v>
      </c>
      <c r="F12" s="68">
        <f>'Dept Summary'!J6</f>
        <v>7654.5163461538459</v>
      </c>
      <c r="G12" s="69">
        <f>C12/'Dept Summary'!C10</f>
        <v>0.1831590467862475</v>
      </c>
    </row>
    <row r="13" spans="1:13" ht="19.5" customHeight="1" x14ac:dyDescent="0.3">
      <c r="A13" s="70" t="s">
        <v>234</v>
      </c>
      <c r="B13" s="71">
        <f>'Dept Summary'!B7</f>
        <v>4</v>
      </c>
      <c r="C13" s="72">
        <f>'Dept Summary'!C7</f>
        <v>12088.923076923078</v>
      </c>
      <c r="D13" s="72">
        <f>'Dept Summary'!H7</f>
        <v>3571.1876923076925</v>
      </c>
      <c r="E13" s="72">
        <f>'Dept Summary'!I7</f>
        <v>856.01461538461535</v>
      </c>
      <c r="F13" s="72">
        <f>'Dept Summary'!J7</f>
        <v>7661.7207692307693</v>
      </c>
      <c r="G13" s="73">
        <f>C13/'Dept Summary'!C10</f>
        <v>0.18984426328153187</v>
      </c>
    </row>
    <row r="14" spans="1:13" ht="19.5" customHeight="1" x14ac:dyDescent="0.3">
      <c r="A14" s="66" t="s">
        <v>235</v>
      </c>
      <c r="B14" s="67">
        <f>'Dept Summary'!B8</f>
        <v>4</v>
      </c>
      <c r="C14" s="68">
        <f>'Dept Summary'!C8</f>
        <v>16425.961538461539</v>
      </c>
      <c r="D14" s="68">
        <f>'Dept Summary'!H8</f>
        <v>5159.956923076923</v>
      </c>
      <c r="E14" s="68">
        <f>'Dept Summary'!I8</f>
        <v>1211.0369230769229</v>
      </c>
      <c r="F14" s="68">
        <f>'Dept Summary'!J8</f>
        <v>10054.967692307691</v>
      </c>
      <c r="G14" s="69">
        <f>C14/'Dept Summary'!C10</f>
        <v>0.25795304901168331</v>
      </c>
    </row>
    <row r="15" spans="1:13" ht="19.5" customHeight="1" x14ac:dyDescent="0.3">
      <c r="A15" s="70" t="s">
        <v>236</v>
      </c>
      <c r="B15" s="71">
        <f>'Dept Summary'!B9</f>
        <v>2</v>
      </c>
      <c r="C15" s="72">
        <f>'Dept Summary'!C9</f>
        <v>6384.6153846153848</v>
      </c>
      <c r="D15" s="72">
        <f>'Dept Summary'!H9</f>
        <v>1894.0269230769231</v>
      </c>
      <c r="E15" s="72">
        <f>'Dept Summary'!I9</f>
        <v>472.11692307692306</v>
      </c>
      <c r="F15" s="72">
        <f>'Dept Summary'!J9</f>
        <v>4018.4715384615392</v>
      </c>
      <c r="G15" s="73">
        <f>C15/'Dept Summary'!C10</f>
        <v>0.10026390244322293</v>
      </c>
    </row>
    <row r="16" spans="1:13" ht="21.75" customHeight="1" x14ac:dyDescent="0.3">
      <c r="A16" s="27" t="s">
        <v>237</v>
      </c>
      <c r="B16" s="215">
        <f t="shared" ref="B16:G16" si="0">SUM(B10:B15)</f>
        <v>20</v>
      </c>
      <c r="C16" s="75">
        <f t="shared" si="0"/>
        <v>63678.105769230766</v>
      </c>
      <c r="D16" s="75">
        <f t="shared" si="0"/>
        <v>19263.954807692306</v>
      </c>
      <c r="E16" s="75">
        <f t="shared" si="0"/>
        <v>4249.9307692307684</v>
      </c>
      <c r="F16" s="75">
        <f t="shared" si="0"/>
        <v>40164.220192307694</v>
      </c>
      <c r="G16" s="214">
        <f t="shared" si="0"/>
        <v>1.0000000000000002</v>
      </c>
    </row>
    <row r="18" spans="1:13" ht="22.2" customHeight="1" x14ac:dyDescent="0.3">
      <c r="A18" s="187" t="s">
        <v>238</v>
      </c>
      <c r="B18" s="187"/>
      <c r="C18" s="187"/>
      <c r="D18" s="187"/>
      <c r="E18" s="187"/>
      <c r="F18" s="187"/>
      <c r="G18" s="187"/>
      <c r="H18" s="187"/>
      <c r="I18" s="187"/>
      <c r="J18" s="187"/>
      <c r="K18" s="187"/>
      <c r="L18" s="187"/>
      <c r="M18" s="187"/>
    </row>
    <row r="20" spans="1:13" ht="18" customHeight="1" x14ac:dyDescent="0.3">
      <c r="A20" s="188" t="s">
        <v>239</v>
      </c>
      <c r="B20" s="188"/>
      <c r="C20" s="188"/>
      <c r="D20" s="188"/>
      <c r="E20" s="188"/>
      <c r="F20" s="188"/>
      <c r="G20" s="188"/>
      <c r="H20" s="188"/>
      <c r="I20" s="188"/>
      <c r="J20" s="188"/>
      <c r="K20" s="188"/>
      <c r="L20" s="188"/>
      <c r="M20" s="188"/>
    </row>
    <row r="21" spans="1:13" ht="13.5" customHeight="1" x14ac:dyDescent="0.3">
      <c r="A21" s="165" t="s">
        <v>240</v>
      </c>
      <c r="B21" s="165"/>
      <c r="C21" s="165"/>
      <c r="D21" s="165"/>
      <c r="E21" s="165"/>
      <c r="F21" s="165"/>
      <c r="G21" s="165"/>
      <c r="H21" s="165"/>
      <c r="I21" s="165"/>
      <c r="J21" s="165"/>
      <c r="K21" s="165"/>
      <c r="L21" s="165"/>
      <c r="M21" s="165"/>
    </row>
  </sheetData>
  <sheetProtection algorithmName="SHA-512" hashValue="kWtJyqZfFdazqSg33GD7KRF9d2iiGUEYrXMUdA8MtIWTKcBkHobmUQir3DUQ/bdr5fZhG5Na5c+eIXyL/E+toQ==" saltValue="vFsPONCIFTLzLprPFg0LYQ==" spinCount="100000" sheet="1" objects="1" scenarios="1"/>
  <mergeCells count="18">
    <mergeCell ref="A8:M8"/>
    <mergeCell ref="A18:M18"/>
    <mergeCell ref="A20:M20"/>
    <mergeCell ref="A21:M21"/>
    <mergeCell ref="A5:C5"/>
    <mergeCell ref="D5:F5"/>
    <mergeCell ref="G5:I5"/>
    <mergeCell ref="J5:L5"/>
    <mergeCell ref="A6:C6"/>
    <mergeCell ref="D6:F6"/>
    <mergeCell ref="G6:I6"/>
    <mergeCell ref="J6:L6"/>
    <mergeCell ref="A1:M1"/>
    <mergeCell ref="A2:M2"/>
    <mergeCell ref="A4:C4"/>
    <mergeCell ref="D4:F4"/>
    <mergeCell ref="G4:I4"/>
    <mergeCell ref="J4:L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CC71"/>
  </sheetPr>
  <dimension ref="A1:V39"/>
  <sheetViews>
    <sheetView showGridLines="0" zoomScaleNormal="100" workbookViewId="0">
      <pane xSplit="4" ySplit="5" topLeftCell="E6" activePane="bottomRight" state="frozen"/>
      <selection pane="topRight" activeCell="E1" sqref="E1"/>
      <selection pane="bottomLeft" activeCell="A6" sqref="A6"/>
      <selection pane="bottomRight" sqref="A1:V1"/>
    </sheetView>
  </sheetViews>
  <sheetFormatPr defaultColWidth="8.6640625" defaultRowHeight="14.4" x14ac:dyDescent="0.3"/>
  <cols>
    <col min="1" max="1" width="7" customWidth="1"/>
    <col min="2" max="3" width="12" customWidth="1"/>
    <col min="4" max="4" width="22" customWidth="1"/>
    <col min="5" max="5" width="13" customWidth="1"/>
    <col min="6" max="10" width="12" customWidth="1"/>
    <col min="11" max="14" width="11" customWidth="1"/>
    <col min="15" max="16" width="13" customWidth="1"/>
    <col min="17" max="17" width="11" customWidth="1"/>
    <col min="18" max="18" width="13" customWidth="1"/>
    <col min="19" max="19" width="14" customWidth="1"/>
    <col min="20" max="20" width="18" customWidth="1"/>
    <col min="21" max="22" width="14" customWidth="1"/>
  </cols>
  <sheetData>
    <row r="1" spans="1:22" ht="30" customHeight="1" x14ac:dyDescent="0.3">
      <c r="A1" s="168" t="s">
        <v>241</v>
      </c>
      <c r="B1" s="168"/>
      <c r="C1" s="168"/>
      <c r="D1" s="168"/>
      <c r="E1" s="168"/>
      <c r="F1" s="168"/>
      <c r="G1" s="168"/>
      <c r="H1" s="168"/>
      <c r="I1" s="168"/>
      <c r="J1" s="168"/>
      <c r="K1" s="168"/>
      <c r="L1" s="168"/>
      <c r="M1" s="168"/>
      <c r="N1" s="168"/>
      <c r="O1" s="168"/>
      <c r="P1" s="168"/>
      <c r="Q1" s="168"/>
      <c r="R1" s="168"/>
      <c r="S1" s="168"/>
      <c r="T1" s="168"/>
      <c r="U1" s="168"/>
      <c r="V1" s="168"/>
    </row>
    <row r="2" spans="1:22" ht="18" customHeight="1" x14ac:dyDescent="0.3">
      <c r="A2" s="166" t="s">
        <v>242</v>
      </c>
      <c r="B2" s="166"/>
      <c r="C2" s="166"/>
      <c r="D2" s="166"/>
      <c r="E2" s="166"/>
      <c r="F2" s="166"/>
      <c r="G2" s="166"/>
      <c r="H2" s="166"/>
      <c r="I2" s="166"/>
      <c r="J2" s="166"/>
      <c r="K2" s="166"/>
      <c r="L2" s="166"/>
      <c r="M2" s="166"/>
      <c r="N2" s="166"/>
      <c r="O2" s="166"/>
      <c r="P2" s="166"/>
      <c r="Q2" s="166"/>
      <c r="R2" s="166"/>
      <c r="S2" s="166"/>
      <c r="T2" s="166"/>
      <c r="U2" s="166"/>
      <c r="V2" s="166"/>
    </row>
    <row r="3" spans="1:22" ht="7.5" customHeight="1" x14ac:dyDescent="0.3">
      <c r="A3" s="189"/>
      <c r="B3" s="189"/>
      <c r="C3" s="189"/>
      <c r="D3" s="189"/>
      <c r="E3" s="189"/>
      <c r="F3" s="189"/>
      <c r="G3" s="189"/>
      <c r="H3" s="189"/>
      <c r="I3" s="189"/>
      <c r="J3" s="189"/>
      <c r="K3" s="189"/>
      <c r="L3" s="189"/>
      <c r="M3" s="189"/>
      <c r="N3" s="189"/>
      <c r="O3" s="189"/>
      <c r="P3" s="189"/>
      <c r="Q3" s="189"/>
      <c r="R3" s="189"/>
      <c r="S3" s="189"/>
      <c r="T3" s="189"/>
      <c r="U3" s="189"/>
      <c r="V3" s="189"/>
    </row>
    <row r="4" spans="1:22" ht="21.75" customHeight="1" x14ac:dyDescent="0.3">
      <c r="A4" s="190" t="s">
        <v>133</v>
      </c>
      <c r="B4" s="190"/>
      <c r="C4" s="191" t="s">
        <v>127</v>
      </c>
      <c r="D4" s="191"/>
      <c r="E4" s="192" t="s">
        <v>136</v>
      </c>
      <c r="F4" s="192"/>
      <c r="G4" s="193" t="s">
        <v>145</v>
      </c>
      <c r="H4" s="193"/>
      <c r="I4" s="194" t="s">
        <v>139</v>
      </c>
      <c r="J4" s="194"/>
      <c r="K4" s="195" t="s">
        <v>243</v>
      </c>
      <c r="L4" s="195"/>
      <c r="M4" s="196" t="s">
        <v>130</v>
      </c>
      <c r="N4" s="196"/>
      <c r="O4" s="197" t="s">
        <v>244</v>
      </c>
      <c r="P4" s="197"/>
    </row>
    <row r="5" spans="1:22" ht="42" customHeight="1" x14ac:dyDescent="0.3">
      <c r="A5" s="76" t="s">
        <v>245</v>
      </c>
      <c r="B5" s="77" t="s">
        <v>246</v>
      </c>
      <c r="C5" s="77" t="s">
        <v>247</v>
      </c>
      <c r="D5" s="77" t="s">
        <v>248</v>
      </c>
      <c r="E5" s="78" t="s">
        <v>249</v>
      </c>
      <c r="F5" s="78" t="s">
        <v>250</v>
      </c>
      <c r="G5" s="78" t="s">
        <v>251</v>
      </c>
      <c r="H5" s="78" t="s">
        <v>252</v>
      </c>
      <c r="I5" s="78" t="s">
        <v>253</v>
      </c>
      <c r="J5" s="79" t="s">
        <v>254</v>
      </c>
      <c r="K5" s="78" t="s">
        <v>255</v>
      </c>
      <c r="L5" s="78" t="s">
        <v>256</v>
      </c>
      <c r="M5" s="78" t="s">
        <v>257</v>
      </c>
      <c r="N5" s="78" t="s">
        <v>258</v>
      </c>
      <c r="O5" s="79" t="s">
        <v>259</v>
      </c>
      <c r="P5" s="79" t="s">
        <v>260</v>
      </c>
      <c r="Q5" s="80" t="s">
        <v>261</v>
      </c>
      <c r="R5" s="80" t="s">
        <v>262</v>
      </c>
      <c r="S5" s="81" t="s">
        <v>263</v>
      </c>
      <c r="T5" s="82" t="s">
        <v>264</v>
      </c>
      <c r="U5" s="83" t="s">
        <v>265</v>
      </c>
      <c r="V5" s="83" t="s">
        <v>266</v>
      </c>
    </row>
    <row r="6" spans="1:22" ht="18" customHeight="1" x14ac:dyDescent="0.3">
      <c r="A6" s="99" t="s">
        <v>267</v>
      </c>
      <c r="B6" s="84" t="str">
        <f>IFERROR(INDEX('Employee Master'!B$4:B$23,MATCH(A6,'Employee Master'!A$4:A$23,0)),"")</f>
        <v>Anderson</v>
      </c>
      <c r="C6" s="84" t="str">
        <f>IFERROR(INDEX('Employee Master'!C$4:C$23,MATCH(A6,'Employee Master'!A$4:A$23,0)),"")</f>
        <v>Michael</v>
      </c>
      <c r="D6" s="84" t="str">
        <f>IFERROR(INDEX('Employee Master'!E$4:E$23,MATCH(A6,'Employee Master'!A$4:A$23,0)),"")</f>
        <v>Human Resources</v>
      </c>
      <c r="E6" s="85">
        <f>SUMIFS('Prior YTD (Jan-May)'!E$4:E$23,'Prior YTD (Jan-May)'!A$4:A$23,A6)+SUMIFS('Payroll Register'!M$4:M$23,'Payroll Register'!A$4:A$23,A6)</f>
        <v>48653.846923076919</v>
      </c>
      <c r="F6" s="85">
        <f>SUMIFS('Prior YTD (Jan-May)'!F$4:F$23,'Prior YTD (Jan-May)'!A$4:A$23,A6)+SUMIFS('Payroll Register'!N$4:N$23,'Payroll Register'!A$4:A$23,A6)</f>
        <v>8144.2346153846156</v>
      </c>
      <c r="G6" s="85">
        <f>SUMIFS('Prior YTD (Jan-May)'!G$4:G$23,'Prior YTD (Jan-May)'!A$4:A$23,A6)+SUMIFS('Payroll Register'!O$4:O$23,'Payroll Register'!A$4:A$23,A6)</f>
        <v>3016.54</v>
      </c>
      <c r="H6" s="85">
        <f>SUMIFS('Prior YTD (Jan-May)'!H$4:H$23,'Prior YTD (Jan-May)'!A$4:A$23,A6)+SUMIFS('Payroll Register'!P$4:P$23,'Payroll Register'!A$4:A$23,A6)</f>
        <v>705.48</v>
      </c>
      <c r="I6" s="85">
        <f>SUMIFS('Prior YTD (Jan-May)'!I$4:I$23,'Prior YTD (Jan-May)'!A$4:A$23,A6)+SUMIFS('Payroll Register'!Q$4:Q$23,'Payroll Register'!A$4:A$23,A6)</f>
        <v>2671.1</v>
      </c>
      <c r="J6" s="85">
        <f t="shared" ref="J6:J25" si="0">SUM(F6:I6)</f>
        <v>14537.354615384616</v>
      </c>
      <c r="K6" s="85">
        <f>SUMIFS('Prior YTD (Jan-May)'!K$4:K$23,'Prior YTD (Jan-May)'!A$4:A$23,A6)+SUMIFS('Payroll Register'!S$4:S$23,'Payroll Register'!A$4:A$23,A6)</f>
        <v>359.6123076923077</v>
      </c>
      <c r="L6" s="85">
        <f>SUMIFS('Prior YTD (Jan-May)'!L$4:L$23,'Prior YTD (Jan-May)'!A$4:A$23,A6)+SUMIFS('Payroll Register'!T$4:T$23,'Payroll Register'!A$4:A$23,A6)</f>
        <v>19.040769230769229</v>
      </c>
      <c r="M6" s="85">
        <f>SUMIFS('Prior YTD (Jan-May)'!M$4:M$23,'Prior YTD (Jan-May)'!A$4:A$23,A6)+SUMIFS('Payroll Register'!U$4:U$23,'Payroll Register'!A$4:A$23,A6)</f>
        <v>6.3469230769230762</v>
      </c>
      <c r="N6" s="85">
        <f>SUMIFS('Prior YTD (Jan-May)'!N$4:N$23,'Prior YTD (Jan-May)'!A$4:A$23,A6)+SUMIFS('Payroll Register'!V$4:V$23,'Payroll Register'!A$4:A$23,A6)</f>
        <v>2919.23</v>
      </c>
      <c r="O6" s="85">
        <f t="shared" ref="O6:O25" si="1">SUM(K6:N6)</f>
        <v>3304.23</v>
      </c>
      <c r="P6" s="85">
        <f t="shared" ref="P6:P25" si="2">E6-J6-O6</f>
        <v>30812.262307692301</v>
      </c>
      <c r="Q6" s="86">
        <f t="shared" ref="Q6:Q25" si="3">IFERROR(ROUND(J6/E6,4),0)</f>
        <v>0.29880000000000001</v>
      </c>
      <c r="R6" s="86">
        <f t="shared" ref="R6:R25" si="4">IFERROR(ROUND(N6/E6,4),0)</f>
        <v>0.06</v>
      </c>
      <c r="S6" s="87">
        <f t="shared" ref="S6:S25" si="5">MAX(0,176100-E6)</f>
        <v>127446.15307692307</v>
      </c>
      <c r="T6" s="88" t="str">
        <f t="shared" ref="T6:T25" si="6">IF(E6&gt;=176100,"BASE REACHED — STOP SS",IF(E6&gt;=149685,"WARNING: &gt;85% Used",IF(E6&gt;=114465,"MONITOR: &gt;65% Used","Within Safe Limit")))</f>
        <v>Within Safe Limit</v>
      </c>
      <c r="U6" s="89">
        <f t="shared" ref="U6:U25" si="7">ROUND(E6/11*26,2)</f>
        <v>115000</v>
      </c>
      <c r="V6" s="90">
        <f t="shared" ref="V6:V26" si="8">26-11</f>
        <v>15</v>
      </c>
    </row>
    <row r="7" spans="1:22" ht="18" customHeight="1" x14ac:dyDescent="0.3">
      <c r="A7" s="91" t="s">
        <v>268</v>
      </c>
      <c r="B7" s="92" t="str">
        <f>IFERROR(INDEX('Employee Master'!B$4:B$23,MATCH(A7,'Employee Master'!A$4:A$23,0)),"")</f>
        <v>Johnson</v>
      </c>
      <c r="C7" s="92" t="str">
        <f>IFERROR(INDEX('Employee Master'!C$4:C$23,MATCH(A7,'Employee Master'!A$4:A$23,0)),"")</f>
        <v>Sarah</v>
      </c>
      <c r="D7" s="92" t="str">
        <f>IFERROR(INDEX('Employee Master'!E$4:E$23,MATCH(A7,'Employee Master'!A$4:A$23,0)),"")</f>
        <v>Human Resources</v>
      </c>
      <c r="E7" s="93">
        <f>SUMIFS('Prior YTD (Jan-May)'!E$4:E$23,'Prior YTD (Jan-May)'!A$4:A$23,A7)+SUMIFS('Payroll Register'!M$4:M$23,'Payroll Register'!A$4:A$23,A7)</f>
        <v>33000</v>
      </c>
      <c r="F7" s="93">
        <f>SUMIFS('Prior YTD (Jan-May)'!F$4:F$23,'Prior YTD (Jan-May)'!A$4:A$23,A7)+SUMIFS('Payroll Register'!N$4:N$23,'Payroll Register'!A$4:A$23,A7)</f>
        <v>6155.3469230769233</v>
      </c>
      <c r="G7" s="93">
        <f>SUMIFS('Prior YTD (Jan-May)'!G$4:G$23,'Prior YTD (Jan-May)'!A$4:A$23,A7)+SUMIFS('Payroll Register'!O$4:O$23,'Payroll Register'!A$4:A$23,A7)</f>
        <v>2046</v>
      </c>
      <c r="H7" s="93">
        <f>SUMIFS('Prior YTD (Jan-May)'!H$4:H$23,'Prior YTD (Jan-May)'!A$4:A$23,A7)+SUMIFS('Payroll Register'!P$4:P$23,'Payroll Register'!A$4:A$23,A7)</f>
        <v>478.5</v>
      </c>
      <c r="I7" s="93">
        <f>SUMIFS('Prior YTD (Jan-May)'!I$4:I$23,'Prior YTD (Jan-May)'!A$4:A$23,A7)+SUMIFS('Payroll Register'!Q$4:Q$23,'Payroll Register'!A$4:A$23,A7)</f>
        <v>1811.7</v>
      </c>
      <c r="J7" s="93">
        <f t="shared" si="0"/>
        <v>10491.546923076923</v>
      </c>
      <c r="K7" s="93">
        <f>SUMIFS('Prior YTD (Jan-May)'!K$4:K$23,'Prior YTD (Jan-May)'!A$4:A$23,A7)+SUMIFS('Payroll Register'!S$4:S$23,'Payroll Register'!A$4:A$23,A7)</f>
        <v>232.69384615384615</v>
      </c>
      <c r="L7" s="93">
        <f>SUMIFS('Prior YTD (Jan-May)'!L$4:L$23,'Prior YTD (Jan-May)'!A$4:A$23,A7)+SUMIFS('Payroll Register'!T$4:T$23,'Payroll Register'!A$4:A$23,A7)</f>
        <v>19.040769230769229</v>
      </c>
      <c r="M7" s="93">
        <f>SUMIFS('Prior YTD (Jan-May)'!M$4:M$23,'Prior YTD (Jan-May)'!A$4:A$23,A7)+SUMIFS('Payroll Register'!U$4:U$23,'Payroll Register'!A$4:A$23,A7)</f>
        <v>6.3469230769230762</v>
      </c>
      <c r="N7" s="93">
        <f>SUMIFS('Prior YTD (Jan-May)'!N$4:N$23,'Prior YTD (Jan-May)'!A$4:A$23,A7)+SUMIFS('Payroll Register'!V$4:V$23,'Payroll Register'!A$4:A$23,A7)</f>
        <v>1320</v>
      </c>
      <c r="O7" s="93">
        <f t="shared" si="1"/>
        <v>1578.0815384615385</v>
      </c>
      <c r="P7" s="93">
        <f t="shared" si="2"/>
        <v>20930.371538461539</v>
      </c>
      <c r="Q7" s="94">
        <f t="shared" si="3"/>
        <v>0.31790000000000002</v>
      </c>
      <c r="R7" s="94">
        <f t="shared" si="4"/>
        <v>0.04</v>
      </c>
      <c r="S7" s="95">
        <f t="shared" si="5"/>
        <v>143100</v>
      </c>
      <c r="T7" s="96" t="str">
        <f t="shared" si="6"/>
        <v>Within Safe Limit</v>
      </c>
      <c r="U7" s="97">
        <f t="shared" si="7"/>
        <v>78000</v>
      </c>
      <c r="V7" s="98">
        <f t="shared" si="8"/>
        <v>15</v>
      </c>
    </row>
    <row r="8" spans="1:22" ht="18" customHeight="1" x14ac:dyDescent="0.3">
      <c r="A8" s="99" t="s">
        <v>269</v>
      </c>
      <c r="B8" s="84" t="str">
        <f>IFERROR(INDEX('Employee Master'!B$4:B$23,MATCH(A8,'Employee Master'!A$4:A$23,0)),"")</f>
        <v>Williams</v>
      </c>
      <c r="C8" s="84" t="str">
        <f>IFERROR(INDEX('Employee Master'!C$4:C$23,MATCH(A8,'Employee Master'!A$4:A$23,0)),"")</f>
        <v>David</v>
      </c>
      <c r="D8" s="84" t="str">
        <f>IFERROR(INDEX('Employee Master'!E$4:E$23,MATCH(A8,'Employee Master'!A$4:A$23,0)),"")</f>
        <v>Finance</v>
      </c>
      <c r="E8" s="85">
        <f>SUMIFS('Prior YTD (Jan-May)'!E$4:E$23,'Prior YTD (Jan-May)'!A$4:A$23,A8)+SUMIFS('Payroll Register'!M$4:M$23,'Payroll Register'!A$4:A$23,A8)</f>
        <v>52884.612307692303</v>
      </c>
      <c r="F8" s="85">
        <f>SUMIFS('Prior YTD (Jan-May)'!F$4:F$23,'Prior YTD (Jan-May)'!A$4:A$23,A8)+SUMIFS('Payroll Register'!N$4:N$23,'Payroll Register'!A$4:A$23,A8)</f>
        <v>9159.6123076923086</v>
      </c>
      <c r="G8" s="85">
        <f>SUMIFS('Prior YTD (Jan-May)'!G$4:G$23,'Prior YTD (Jan-May)'!A$4:A$23,A8)+SUMIFS('Payroll Register'!O$4:O$23,'Payroll Register'!A$4:A$23,A8)</f>
        <v>3278.85</v>
      </c>
      <c r="H8" s="85">
        <f>SUMIFS('Prior YTD (Jan-May)'!H$4:H$23,'Prior YTD (Jan-May)'!A$4:A$23,A8)+SUMIFS('Payroll Register'!P$4:P$23,'Payroll Register'!A$4:A$23,A8)</f>
        <v>766.83</v>
      </c>
      <c r="I8" s="85">
        <f>SUMIFS('Prior YTD (Jan-May)'!I$4:I$23,'Prior YTD (Jan-May)'!A$4:A$23,A8)+SUMIFS('Payroll Register'!Q$4:Q$23,'Payroll Register'!A$4:A$23,A8)</f>
        <v>2903.36</v>
      </c>
      <c r="J8" s="85">
        <f t="shared" si="0"/>
        <v>16108.652307692309</v>
      </c>
      <c r="K8" s="85">
        <f>SUMIFS('Prior YTD (Jan-May)'!K$4:K$23,'Prior YTD (Jan-May)'!A$4:A$23,A8)+SUMIFS('Payroll Register'!S$4:S$23,'Payroll Register'!A$4:A$23,A8)</f>
        <v>359.6123076923077</v>
      </c>
      <c r="L8" s="85">
        <f>SUMIFS('Prior YTD (Jan-May)'!L$4:L$23,'Prior YTD (Jan-May)'!A$4:A$23,A8)+SUMIFS('Payroll Register'!T$4:T$23,'Payroll Register'!A$4:A$23,A8)</f>
        <v>19.040769230769229</v>
      </c>
      <c r="M8" s="85">
        <f>SUMIFS('Prior YTD (Jan-May)'!M$4:M$23,'Prior YTD (Jan-May)'!A$4:A$23,A8)+SUMIFS('Payroll Register'!U$4:U$23,'Payroll Register'!A$4:A$23,A8)</f>
        <v>6.3469230769230762</v>
      </c>
      <c r="N8" s="85">
        <f>SUMIFS('Prior YTD (Jan-May)'!N$4:N$23,'Prior YTD (Jan-May)'!A$4:A$23,A8)+SUMIFS('Payroll Register'!V$4:V$23,'Payroll Register'!A$4:A$23,A8)</f>
        <v>4230.7700000000004</v>
      </c>
      <c r="O8" s="85">
        <f t="shared" si="1"/>
        <v>4615.7700000000004</v>
      </c>
      <c r="P8" s="85">
        <f t="shared" si="2"/>
        <v>32160.189999999991</v>
      </c>
      <c r="Q8" s="86">
        <f t="shared" si="3"/>
        <v>0.30459999999999998</v>
      </c>
      <c r="R8" s="86">
        <f t="shared" si="4"/>
        <v>0.08</v>
      </c>
      <c r="S8" s="87">
        <f t="shared" si="5"/>
        <v>123215.3876923077</v>
      </c>
      <c r="T8" s="88" t="str">
        <f t="shared" si="6"/>
        <v>Within Safe Limit</v>
      </c>
      <c r="U8" s="89">
        <f t="shared" si="7"/>
        <v>124999.99</v>
      </c>
      <c r="V8" s="90">
        <f t="shared" si="8"/>
        <v>15</v>
      </c>
    </row>
    <row r="9" spans="1:22" ht="18" customHeight="1" x14ac:dyDescent="0.3">
      <c r="A9" s="91" t="s">
        <v>270</v>
      </c>
      <c r="B9" s="92" t="str">
        <f>IFERROR(INDEX('Employee Master'!B$4:B$23,MATCH(A9,'Employee Master'!A$4:A$23,0)),"")</f>
        <v>Brown</v>
      </c>
      <c r="C9" s="92" t="str">
        <f>IFERROR(INDEX('Employee Master'!C$4:C$23,MATCH(A9,'Employee Master'!A$4:A$23,0)),"")</f>
        <v>Jessica</v>
      </c>
      <c r="D9" s="92" t="str">
        <f>IFERROR(INDEX('Employee Master'!E$4:E$23,MATCH(A9,'Employee Master'!A$4:A$23,0)),"")</f>
        <v>Finance</v>
      </c>
      <c r="E9" s="93">
        <f>SUMIFS('Prior YTD (Jan-May)'!E$4:E$23,'Prior YTD (Jan-May)'!A$4:A$23,A9)+SUMIFS('Payroll Register'!M$4:M$23,'Payroll Register'!A$4:A$23,A9)</f>
        <v>30461.540769230771</v>
      </c>
      <c r="F9" s="93">
        <f>SUMIFS('Prior YTD (Jan-May)'!F$4:F$23,'Prior YTD (Jan-May)'!A$4:A$23,A9)+SUMIFS('Payroll Register'!N$4:N$23,'Payroll Register'!A$4:A$23,A9)</f>
        <v>5546.1123076923077</v>
      </c>
      <c r="G9" s="93">
        <f>SUMIFS('Prior YTD (Jan-May)'!G$4:G$23,'Prior YTD (Jan-May)'!A$4:A$23,A9)+SUMIFS('Payroll Register'!O$4:O$23,'Payroll Register'!A$4:A$23,A9)</f>
        <v>1888.6100000000001</v>
      </c>
      <c r="H9" s="93">
        <f>SUMIFS('Prior YTD (Jan-May)'!H$4:H$23,'Prior YTD (Jan-May)'!A$4:A$23,A9)+SUMIFS('Payroll Register'!P$4:P$23,'Payroll Register'!A$4:A$23,A9)</f>
        <v>441.69</v>
      </c>
      <c r="I9" s="93">
        <f>SUMIFS('Prior YTD (Jan-May)'!I$4:I$23,'Prior YTD (Jan-May)'!A$4:A$23,A9)+SUMIFS('Payroll Register'!Q$4:Q$23,'Payroll Register'!A$4:A$23,A9)</f>
        <v>1672.34</v>
      </c>
      <c r="J9" s="93">
        <f t="shared" si="0"/>
        <v>9548.7523076923062</v>
      </c>
      <c r="K9" s="93">
        <f>SUMIFS('Prior YTD (Jan-May)'!K$4:K$23,'Prior YTD (Jan-May)'!A$4:A$23,A9)+SUMIFS('Payroll Register'!S$4:S$23,'Payroll Register'!A$4:A$23,A9)</f>
        <v>232.69384615384615</v>
      </c>
      <c r="L9" s="93">
        <f>SUMIFS('Prior YTD (Jan-May)'!L$4:L$23,'Prior YTD (Jan-May)'!A$4:A$23,A9)+SUMIFS('Payroll Register'!T$4:T$23,'Payroll Register'!A$4:A$23,A9)</f>
        <v>19.040769230769229</v>
      </c>
      <c r="M9" s="93">
        <f>SUMIFS('Prior YTD (Jan-May)'!M$4:M$23,'Prior YTD (Jan-May)'!A$4:A$23,A9)+SUMIFS('Payroll Register'!U$4:U$23,'Payroll Register'!A$4:A$23,A9)</f>
        <v>6.3469230769230762</v>
      </c>
      <c r="N9" s="93">
        <f>SUMIFS('Prior YTD (Jan-May)'!N$4:N$23,'Prior YTD (Jan-May)'!A$4:A$23,A9)+SUMIFS('Payroll Register'!V$4:V$23,'Payroll Register'!A$4:A$23,A9)</f>
        <v>1523.08</v>
      </c>
      <c r="O9" s="93">
        <f t="shared" si="1"/>
        <v>1781.1615384615384</v>
      </c>
      <c r="P9" s="93">
        <f t="shared" si="2"/>
        <v>19131.626923076925</v>
      </c>
      <c r="Q9" s="94">
        <f t="shared" si="3"/>
        <v>0.3135</v>
      </c>
      <c r="R9" s="94">
        <f t="shared" si="4"/>
        <v>0.05</v>
      </c>
      <c r="S9" s="95">
        <f t="shared" si="5"/>
        <v>145638.45923076922</v>
      </c>
      <c r="T9" s="96" t="str">
        <f t="shared" si="6"/>
        <v>Within Safe Limit</v>
      </c>
      <c r="U9" s="97">
        <f t="shared" si="7"/>
        <v>72000.009999999995</v>
      </c>
      <c r="V9" s="98">
        <f t="shared" si="8"/>
        <v>15</v>
      </c>
    </row>
    <row r="10" spans="1:22" ht="18" customHeight="1" x14ac:dyDescent="0.3">
      <c r="A10" s="99" t="s">
        <v>271</v>
      </c>
      <c r="B10" s="84" t="str">
        <f>IFERROR(INDEX('Employee Master'!B$4:B$23,MATCH(A10,'Employee Master'!A$4:A$23,0)),"")</f>
        <v>Davis</v>
      </c>
      <c r="C10" s="84" t="str">
        <f>IFERROR(INDEX('Employee Master'!C$4:C$23,MATCH(A10,'Employee Master'!A$4:A$23,0)),"")</f>
        <v>Robert</v>
      </c>
      <c r="D10" s="84" t="str">
        <f>IFERROR(INDEX('Employee Master'!E$4:E$23,MATCH(A10,'Employee Master'!A$4:A$23,0)),"")</f>
        <v>Finance</v>
      </c>
      <c r="E10" s="85">
        <f>SUMIFS('Prior YTD (Jan-May)'!E$4:E$23,'Prior YTD (Jan-May)'!A$4:A$23,A10)+SUMIFS('Payroll Register'!M$4:M$23,'Payroll Register'!A$4:A$23,A10)</f>
        <v>23269.234615384616</v>
      </c>
      <c r="F10" s="85">
        <f>SUMIFS('Prior YTD (Jan-May)'!F$4:F$23,'Prior YTD (Jan-May)'!A$4:A$23,A10)+SUMIFS('Payroll Register'!N$4:N$23,'Payroll Register'!A$4:A$23,A10)</f>
        <v>3835.8315384615385</v>
      </c>
      <c r="G10" s="85">
        <f>SUMIFS('Prior YTD (Jan-May)'!G$4:G$23,'Prior YTD (Jan-May)'!A$4:A$23,A10)+SUMIFS('Payroll Register'!O$4:O$23,'Payroll Register'!A$4:A$23,A10)</f>
        <v>1442.69</v>
      </c>
      <c r="H10" s="85">
        <f>SUMIFS('Prior YTD (Jan-May)'!H$4:H$23,'Prior YTD (Jan-May)'!A$4:A$23,A10)+SUMIFS('Payroll Register'!P$4:P$23,'Payroll Register'!A$4:A$23,A10)</f>
        <v>337.40000000000003</v>
      </c>
      <c r="I10" s="85">
        <f>SUMIFS('Prior YTD (Jan-May)'!I$4:I$23,'Prior YTD (Jan-May)'!A$4:A$23,A10)+SUMIFS('Payroll Register'!Q$4:Q$23,'Payroll Register'!A$4:A$23,A10)</f>
        <v>1277.48</v>
      </c>
      <c r="J10" s="85">
        <f t="shared" si="0"/>
        <v>6893.4015384615377</v>
      </c>
      <c r="K10" s="85">
        <f>SUMIFS('Prior YTD (Jan-May)'!K$4:K$23,'Prior YTD (Jan-May)'!A$4:A$23,A10)+SUMIFS('Payroll Register'!S$4:S$23,'Payroll Register'!A$4:A$23,A10)</f>
        <v>124.80615384615385</v>
      </c>
      <c r="L10" s="85">
        <f>SUMIFS('Prior YTD (Jan-May)'!L$4:L$23,'Prior YTD (Jan-May)'!A$4:A$23,A10)+SUMIFS('Payroll Register'!T$4:T$23,'Payroll Register'!A$4:A$23,A10)</f>
        <v>19.040769230769229</v>
      </c>
      <c r="M10" s="85">
        <f>SUMIFS('Prior YTD (Jan-May)'!M$4:M$23,'Prior YTD (Jan-May)'!A$4:A$23,A10)+SUMIFS('Payroll Register'!U$4:U$23,'Payroll Register'!A$4:A$23,A10)</f>
        <v>6.3469230769230762</v>
      </c>
      <c r="N10" s="85">
        <f>SUMIFS('Prior YTD (Jan-May)'!N$4:N$23,'Prior YTD (Jan-May)'!A$4:A$23,A10)+SUMIFS('Payroll Register'!V$4:V$23,'Payroll Register'!A$4:A$23,A10)</f>
        <v>698.08</v>
      </c>
      <c r="O10" s="85">
        <f t="shared" si="1"/>
        <v>848.27384615384619</v>
      </c>
      <c r="P10" s="85">
        <f t="shared" si="2"/>
        <v>15527.559230769231</v>
      </c>
      <c r="Q10" s="86">
        <f t="shared" si="3"/>
        <v>0.29620000000000002</v>
      </c>
      <c r="R10" s="86">
        <f t="shared" si="4"/>
        <v>0.03</v>
      </c>
      <c r="S10" s="87">
        <f t="shared" si="5"/>
        <v>152830.7653846154</v>
      </c>
      <c r="T10" s="88" t="str">
        <f t="shared" si="6"/>
        <v>Within Safe Limit</v>
      </c>
      <c r="U10" s="89">
        <f t="shared" si="7"/>
        <v>55000.01</v>
      </c>
      <c r="V10" s="90">
        <f t="shared" si="8"/>
        <v>15</v>
      </c>
    </row>
    <row r="11" spans="1:22" ht="18" customHeight="1" x14ac:dyDescent="0.3">
      <c r="A11" s="91" t="s">
        <v>272</v>
      </c>
      <c r="B11" s="92" t="str">
        <f>IFERROR(INDEX('Employee Master'!B$4:B$23,MATCH(A11,'Employee Master'!A$4:A$23,0)),"")</f>
        <v>Martinez</v>
      </c>
      <c r="C11" s="92" t="str">
        <f>IFERROR(INDEX('Employee Master'!C$4:C$23,MATCH(A11,'Employee Master'!A$4:A$23,0)),"")</f>
        <v>Elena</v>
      </c>
      <c r="D11" s="92" t="str">
        <f>IFERROR(INDEX('Employee Master'!E$4:E$23,MATCH(A11,'Employee Master'!A$4:A$23,0)),"")</f>
        <v>Operations</v>
      </c>
      <c r="E11" s="93">
        <f>SUMIFS('Prior YTD (Jan-May)'!E$4:E$23,'Prior YTD (Jan-May)'!A$4:A$23,A11)+SUMIFS('Payroll Register'!M$4:M$23,'Payroll Register'!A$4:A$23,A11)</f>
        <v>40192.306153846155</v>
      </c>
      <c r="F11" s="93">
        <f>SUMIFS('Prior YTD (Jan-May)'!F$4:F$23,'Prior YTD (Jan-May)'!A$4:A$23,A11)+SUMIFS('Payroll Register'!N$4:N$23,'Payroll Register'!A$4:A$23,A11)</f>
        <v>6271.2653846153844</v>
      </c>
      <c r="G11" s="93">
        <f>SUMIFS('Prior YTD (Jan-May)'!G$4:G$23,'Prior YTD (Jan-May)'!A$4:A$23,A11)+SUMIFS('Payroll Register'!O$4:O$23,'Payroll Register'!A$4:A$23,A11)</f>
        <v>2491.92</v>
      </c>
      <c r="H11" s="93">
        <f>SUMIFS('Prior YTD (Jan-May)'!H$4:H$23,'Prior YTD (Jan-May)'!A$4:A$23,A11)+SUMIFS('Payroll Register'!P$4:P$23,'Payroll Register'!A$4:A$23,A11)</f>
        <v>582.79</v>
      </c>
      <c r="I11" s="93">
        <f>SUMIFS('Prior YTD (Jan-May)'!I$4:I$23,'Prior YTD (Jan-May)'!A$4:A$23,A11)+SUMIFS('Payroll Register'!Q$4:Q$23,'Payroll Register'!A$4:A$23,A11)</f>
        <v>2206.56</v>
      </c>
      <c r="J11" s="93">
        <f t="shared" si="0"/>
        <v>11552.535384615383</v>
      </c>
      <c r="K11" s="93">
        <f>SUMIFS('Prior YTD (Jan-May)'!K$4:K$23,'Prior YTD (Jan-May)'!A$4:A$23,A11)+SUMIFS('Payroll Register'!S$4:S$23,'Payroll Register'!A$4:A$23,A11)</f>
        <v>359.6123076923077</v>
      </c>
      <c r="L11" s="93">
        <f>SUMIFS('Prior YTD (Jan-May)'!L$4:L$23,'Prior YTD (Jan-May)'!A$4:A$23,A11)+SUMIFS('Payroll Register'!T$4:T$23,'Payroll Register'!A$4:A$23,A11)</f>
        <v>19.040769230769229</v>
      </c>
      <c r="M11" s="93">
        <f>SUMIFS('Prior YTD (Jan-May)'!M$4:M$23,'Prior YTD (Jan-May)'!A$4:A$23,A11)+SUMIFS('Payroll Register'!U$4:U$23,'Payroll Register'!A$4:A$23,A11)</f>
        <v>6.3469230769230762</v>
      </c>
      <c r="N11" s="93">
        <f>SUMIFS('Prior YTD (Jan-May)'!N$4:N$23,'Prior YTD (Jan-May)'!A$4:A$23,A11)+SUMIFS('Payroll Register'!V$4:V$23,'Payroll Register'!A$4:A$23,A11)</f>
        <v>2813.46</v>
      </c>
      <c r="O11" s="93">
        <f t="shared" si="1"/>
        <v>3198.46</v>
      </c>
      <c r="P11" s="93">
        <f t="shared" si="2"/>
        <v>25441.310769230775</v>
      </c>
      <c r="Q11" s="94">
        <f t="shared" si="3"/>
        <v>0.28739999999999999</v>
      </c>
      <c r="R11" s="94">
        <f t="shared" si="4"/>
        <v>7.0000000000000007E-2</v>
      </c>
      <c r="S11" s="95">
        <f t="shared" si="5"/>
        <v>135907.69384615385</v>
      </c>
      <c r="T11" s="96" t="str">
        <f t="shared" si="6"/>
        <v>Within Safe Limit</v>
      </c>
      <c r="U11" s="97">
        <f t="shared" si="7"/>
        <v>95000</v>
      </c>
      <c r="V11" s="98">
        <f t="shared" si="8"/>
        <v>15</v>
      </c>
    </row>
    <row r="12" spans="1:22" ht="18" customHeight="1" x14ac:dyDescent="0.3">
      <c r="A12" s="99" t="s">
        <v>273</v>
      </c>
      <c r="B12" s="84" t="str">
        <f>IFERROR(INDEX('Employee Master'!B$4:B$23,MATCH(A12,'Employee Master'!A$4:A$23,0)),"")</f>
        <v>Garcia</v>
      </c>
      <c r="C12" s="84" t="str">
        <f>IFERROR(INDEX('Employee Master'!C$4:C$23,MATCH(A12,'Employee Master'!A$4:A$23,0)),"")</f>
        <v>Carlos</v>
      </c>
      <c r="D12" s="84" t="str">
        <f>IFERROR(INDEX('Employee Master'!E$4:E$23,MATCH(A12,'Employee Master'!A$4:A$23,0)),"")</f>
        <v>Operations</v>
      </c>
      <c r="E12" s="85">
        <f>SUMIFS('Prior YTD (Jan-May)'!E$4:E$23,'Prior YTD (Jan-May)'!A$4:A$23,A12)+SUMIFS('Payroll Register'!M$4:M$23,'Payroll Register'!A$4:A$23,A12)</f>
        <v>27500</v>
      </c>
      <c r="F12" s="85">
        <f>SUMIFS('Prior YTD (Jan-May)'!F$4:F$23,'Prior YTD (Jan-May)'!A$4:A$23,A12)+SUMIFS('Payroll Register'!N$4:N$23,'Payroll Register'!A$4:A$23,A12)</f>
        <v>4835.3469230769233</v>
      </c>
      <c r="G12" s="85">
        <f>SUMIFS('Prior YTD (Jan-May)'!G$4:G$23,'Prior YTD (Jan-May)'!A$4:A$23,A12)+SUMIFS('Payroll Register'!O$4:O$23,'Payroll Register'!A$4:A$23,A12)</f>
        <v>1705</v>
      </c>
      <c r="H12" s="85">
        <f>SUMIFS('Prior YTD (Jan-May)'!H$4:H$23,'Prior YTD (Jan-May)'!A$4:A$23,A12)+SUMIFS('Payroll Register'!P$4:P$23,'Payroll Register'!A$4:A$23,A12)</f>
        <v>398.75</v>
      </c>
      <c r="I12" s="85">
        <f>SUMIFS('Prior YTD (Jan-May)'!I$4:I$23,'Prior YTD (Jan-May)'!A$4:A$23,A12)+SUMIFS('Payroll Register'!Q$4:Q$23,'Payroll Register'!A$4:A$23,A12)</f>
        <v>1509.75</v>
      </c>
      <c r="J12" s="85">
        <f t="shared" si="0"/>
        <v>8448.8469230769224</v>
      </c>
      <c r="K12" s="85">
        <f>SUMIFS('Prior YTD (Jan-May)'!K$4:K$23,'Prior YTD (Jan-May)'!A$4:A$23,A12)+SUMIFS('Payroll Register'!S$4:S$23,'Payroll Register'!A$4:A$23,A12)</f>
        <v>262.30615384615385</v>
      </c>
      <c r="L12" s="85">
        <f>SUMIFS('Prior YTD (Jan-May)'!L$4:L$23,'Prior YTD (Jan-May)'!A$4:A$23,A12)+SUMIFS('Payroll Register'!T$4:T$23,'Payroll Register'!A$4:A$23,A12)</f>
        <v>19.040769230769229</v>
      </c>
      <c r="M12" s="85">
        <f>SUMIFS('Prior YTD (Jan-May)'!M$4:M$23,'Prior YTD (Jan-May)'!A$4:A$23,A12)+SUMIFS('Payroll Register'!U$4:U$23,'Payroll Register'!A$4:A$23,A12)</f>
        <v>6.3469230769230762</v>
      </c>
      <c r="N12" s="85">
        <f>SUMIFS('Prior YTD (Jan-May)'!N$4:N$23,'Prior YTD (Jan-May)'!A$4:A$23,A12)+SUMIFS('Payroll Register'!V$4:V$23,'Payroll Register'!A$4:A$23,A12)</f>
        <v>1375</v>
      </c>
      <c r="O12" s="85">
        <f t="shared" si="1"/>
        <v>1662.6938461538462</v>
      </c>
      <c r="P12" s="85">
        <f t="shared" si="2"/>
        <v>17388.459230769233</v>
      </c>
      <c r="Q12" s="86">
        <f t="shared" si="3"/>
        <v>0.30719999999999997</v>
      </c>
      <c r="R12" s="86">
        <f t="shared" si="4"/>
        <v>0.05</v>
      </c>
      <c r="S12" s="87">
        <f t="shared" si="5"/>
        <v>148600</v>
      </c>
      <c r="T12" s="88" t="str">
        <f t="shared" si="6"/>
        <v>Within Safe Limit</v>
      </c>
      <c r="U12" s="89">
        <f t="shared" si="7"/>
        <v>65000</v>
      </c>
      <c r="V12" s="90">
        <f t="shared" si="8"/>
        <v>15</v>
      </c>
    </row>
    <row r="13" spans="1:22" ht="18" customHeight="1" x14ac:dyDescent="0.3">
      <c r="A13" s="91" t="s">
        <v>274</v>
      </c>
      <c r="B13" s="92" t="str">
        <f>IFERROR(INDEX('Employee Master'!B$4:B$23,MATCH(A13,'Employee Master'!A$4:A$23,0)),"")</f>
        <v>Miller</v>
      </c>
      <c r="C13" s="92" t="str">
        <f>IFERROR(INDEX('Employee Master'!C$4:C$23,MATCH(A13,'Employee Master'!A$4:A$23,0)),"")</f>
        <v>Amanda</v>
      </c>
      <c r="D13" s="92" t="str">
        <f>IFERROR(INDEX('Employee Master'!E$4:E$23,MATCH(A13,'Employee Master'!A$4:A$23,0)),"")</f>
        <v>Operations</v>
      </c>
      <c r="E13" s="93">
        <f>SUMIFS('Prior YTD (Jan-May)'!E$4:E$23,'Prior YTD (Jan-May)'!A$4:A$23,A13)+SUMIFS('Payroll Register'!M$4:M$23,'Payroll Register'!A$4:A$23,A13)</f>
        <v>22000</v>
      </c>
      <c r="F13" s="93">
        <f>SUMIFS('Prior YTD (Jan-May)'!F$4:F$23,'Prior YTD (Jan-May)'!A$4:A$23,A13)+SUMIFS('Payroll Register'!N$4:N$23,'Payroll Register'!A$4:A$23,A13)</f>
        <v>3556.5969230769233</v>
      </c>
      <c r="G13" s="93">
        <f>SUMIFS('Prior YTD (Jan-May)'!G$4:G$23,'Prior YTD (Jan-May)'!A$4:A$23,A13)+SUMIFS('Payroll Register'!O$4:O$23,'Payroll Register'!A$4:A$23,A13)</f>
        <v>1364</v>
      </c>
      <c r="H13" s="93">
        <f>SUMIFS('Prior YTD (Jan-May)'!H$4:H$23,'Prior YTD (Jan-May)'!A$4:A$23,A13)+SUMIFS('Payroll Register'!P$4:P$23,'Payroll Register'!A$4:A$23,A13)</f>
        <v>319</v>
      </c>
      <c r="I13" s="93">
        <f>SUMIFS('Prior YTD (Jan-May)'!I$4:I$23,'Prior YTD (Jan-May)'!A$4:A$23,A13)+SUMIFS('Payroll Register'!Q$4:Q$23,'Payroll Register'!A$4:A$23,A13)</f>
        <v>1207.8</v>
      </c>
      <c r="J13" s="93">
        <f t="shared" si="0"/>
        <v>6447.3969230769235</v>
      </c>
      <c r="K13" s="93">
        <f>SUMIFS('Prior YTD (Jan-May)'!K$4:K$23,'Prior YTD (Jan-May)'!A$4:A$23,A13)+SUMIFS('Payroll Register'!S$4:S$23,'Payroll Register'!A$4:A$23,A13)</f>
        <v>124.80615384615385</v>
      </c>
      <c r="L13" s="93">
        <f>SUMIFS('Prior YTD (Jan-May)'!L$4:L$23,'Prior YTD (Jan-May)'!A$4:A$23,A13)+SUMIFS('Payroll Register'!T$4:T$23,'Payroll Register'!A$4:A$23,A13)</f>
        <v>19.040769230769229</v>
      </c>
      <c r="M13" s="93">
        <f>SUMIFS('Prior YTD (Jan-May)'!M$4:M$23,'Prior YTD (Jan-May)'!A$4:A$23,A13)+SUMIFS('Payroll Register'!U$4:U$23,'Payroll Register'!A$4:A$23,A13)</f>
        <v>0</v>
      </c>
      <c r="N13" s="93">
        <f>SUMIFS('Prior YTD (Jan-May)'!N$4:N$23,'Prior YTD (Jan-May)'!A$4:A$23,A13)+SUMIFS('Payroll Register'!V$4:V$23,'Payroll Register'!A$4:A$23,A13)</f>
        <v>660</v>
      </c>
      <c r="O13" s="93">
        <f t="shared" si="1"/>
        <v>803.84692307692308</v>
      </c>
      <c r="P13" s="93">
        <f t="shared" si="2"/>
        <v>14748.756153846154</v>
      </c>
      <c r="Q13" s="94">
        <f t="shared" si="3"/>
        <v>0.29310000000000003</v>
      </c>
      <c r="R13" s="94">
        <f t="shared" si="4"/>
        <v>0.03</v>
      </c>
      <c r="S13" s="95">
        <f t="shared" si="5"/>
        <v>154100</v>
      </c>
      <c r="T13" s="96" t="str">
        <f t="shared" si="6"/>
        <v>Within Safe Limit</v>
      </c>
      <c r="U13" s="97">
        <f t="shared" si="7"/>
        <v>52000</v>
      </c>
      <c r="V13" s="98">
        <f t="shared" si="8"/>
        <v>15</v>
      </c>
    </row>
    <row r="14" spans="1:22" ht="18" customHeight="1" x14ac:dyDescent="0.3">
      <c r="A14" s="99" t="s">
        <v>275</v>
      </c>
      <c r="B14" s="84" t="str">
        <f>IFERROR(INDEX('Employee Master'!B$4:B$23,MATCH(A14,'Employee Master'!A$4:A$23,0)),"")</f>
        <v>Wilson</v>
      </c>
      <c r="C14" s="84" t="str">
        <f>IFERROR(INDEX('Employee Master'!C$4:C$23,MATCH(A14,'Employee Master'!A$4:A$23,0)),"")</f>
        <v>James</v>
      </c>
      <c r="D14" s="84" t="str">
        <f>IFERROR(INDEX('Employee Master'!E$4:E$23,MATCH(A14,'Employee Master'!A$4:A$23,0)),"")</f>
        <v>Operations</v>
      </c>
      <c r="E14" s="85">
        <f>SUMIFS('Prior YTD (Jan-May)'!E$4:E$23,'Prior YTD (Jan-May)'!A$4:A$23,A14)+SUMIFS('Payroll Register'!M$4:M$23,'Payroll Register'!A$4:A$23,A14)</f>
        <v>23023.875</v>
      </c>
      <c r="F14" s="85">
        <f>SUMIFS('Prior YTD (Jan-May)'!F$4:F$23,'Prior YTD (Jan-May)'!A$4:A$23,A14)+SUMIFS('Payroll Register'!N$4:N$23,'Payroll Register'!A$4:A$23,A14)</f>
        <v>3781.8494230769229</v>
      </c>
      <c r="G14" s="85">
        <f>SUMIFS('Prior YTD (Jan-May)'!G$4:G$23,'Prior YTD (Jan-May)'!A$4:A$23,A14)+SUMIFS('Payroll Register'!O$4:O$23,'Payroll Register'!A$4:A$23,A14)</f>
        <v>1427.48</v>
      </c>
      <c r="H14" s="85">
        <f>SUMIFS('Prior YTD (Jan-May)'!H$4:H$23,'Prior YTD (Jan-May)'!A$4:A$23,A14)+SUMIFS('Payroll Register'!P$4:P$23,'Payroll Register'!A$4:A$23,A14)</f>
        <v>333.85</v>
      </c>
      <c r="I14" s="85">
        <f>SUMIFS('Prior YTD (Jan-May)'!I$4:I$23,'Prior YTD (Jan-May)'!A$4:A$23,A14)+SUMIFS('Payroll Register'!Q$4:Q$23,'Payroll Register'!A$4:A$23,A14)</f>
        <v>1264.01</v>
      </c>
      <c r="J14" s="85">
        <f t="shared" si="0"/>
        <v>6807.189423076923</v>
      </c>
      <c r="K14" s="85">
        <f>SUMIFS('Prior YTD (Jan-May)'!K$4:K$23,'Prior YTD (Jan-May)'!A$4:A$23,A14)+SUMIFS('Payroll Register'!S$4:S$23,'Payroll Register'!A$4:A$23,A14)</f>
        <v>124.80615384615385</v>
      </c>
      <c r="L14" s="85">
        <f>SUMIFS('Prior YTD (Jan-May)'!L$4:L$23,'Prior YTD (Jan-May)'!A$4:A$23,A14)+SUMIFS('Payroll Register'!T$4:T$23,'Payroll Register'!A$4:A$23,A14)</f>
        <v>19.040769230769229</v>
      </c>
      <c r="M14" s="85">
        <f>SUMIFS('Prior YTD (Jan-May)'!M$4:M$23,'Prior YTD (Jan-May)'!A$4:A$23,A14)+SUMIFS('Payroll Register'!U$4:U$23,'Payroll Register'!A$4:A$23,A14)</f>
        <v>6.3469230769230762</v>
      </c>
      <c r="N14" s="85">
        <f>SUMIFS('Prior YTD (Jan-May)'!N$4:N$23,'Prior YTD (Jan-May)'!A$4:A$23,A14)+SUMIFS('Payroll Register'!V$4:V$23,'Payroll Register'!A$4:A$23,A14)</f>
        <v>690.71</v>
      </c>
      <c r="O14" s="85">
        <f t="shared" si="1"/>
        <v>840.90384615384619</v>
      </c>
      <c r="P14" s="85">
        <f t="shared" si="2"/>
        <v>15375.781730769231</v>
      </c>
      <c r="Q14" s="86">
        <f t="shared" si="3"/>
        <v>0.29570000000000002</v>
      </c>
      <c r="R14" s="86">
        <f t="shared" si="4"/>
        <v>0.03</v>
      </c>
      <c r="S14" s="87">
        <f t="shared" si="5"/>
        <v>153076.125</v>
      </c>
      <c r="T14" s="88" t="str">
        <f t="shared" si="6"/>
        <v>Within Safe Limit</v>
      </c>
      <c r="U14" s="89">
        <f t="shared" si="7"/>
        <v>54420.07</v>
      </c>
      <c r="V14" s="90">
        <f t="shared" si="8"/>
        <v>15</v>
      </c>
    </row>
    <row r="15" spans="1:22" ht="18" customHeight="1" x14ac:dyDescent="0.3">
      <c r="A15" s="91" t="s">
        <v>276</v>
      </c>
      <c r="B15" s="92" t="str">
        <f>IFERROR(INDEX('Employee Master'!B$4:B$23,MATCH(A15,'Employee Master'!A$4:A$23,0)),"")</f>
        <v>Moore</v>
      </c>
      <c r="C15" s="92" t="str">
        <f>IFERROR(INDEX('Employee Master'!C$4:C$23,MATCH(A15,'Employee Master'!A$4:A$23,0)),"")</f>
        <v>Patricia</v>
      </c>
      <c r="D15" s="92" t="str">
        <f>IFERROR(INDEX('Employee Master'!E$4:E$23,MATCH(A15,'Employee Master'!A$4:A$23,0)),"")</f>
        <v>Operations</v>
      </c>
      <c r="E15" s="93">
        <f>SUMIFS('Prior YTD (Jan-May)'!E$4:E$23,'Prior YTD (Jan-May)'!A$4:A$23,A15)+SUMIFS('Payroll Register'!M$4:M$23,'Payroll Register'!A$4:A$23,A15)</f>
        <v>17281.25</v>
      </c>
      <c r="F15" s="93">
        <f>SUMIFS('Prior YTD (Jan-May)'!F$4:F$23,'Prior YTD (Jan-May)'!A$4:A$23,A15)+SUMIFS('Payroll Register'!N$4:N$23,'Payroll Register'!A$4:A$23,A15)</f>
        <v>2518.4669230769232</v>
      </c>
      <c r="G15" s="93">
        <f>SUMIFS('Prior YTD (Jan-May)'!G$4:G$23,'Prior YTD (Jan-May)'!A$4:A$23,A15)+SUMIFS('Payroll Register'!O$4:O$23,'Payroll Register'!A$4:A$23,A15)</f>
        <v>1071.44</v>
      </c>
      <c r="H15" s="93">
        <f>SUMIFS('Prior YTD (Jan-May)'!H$4:H$23,'Prior YTD (Jan-May)'!A$4:A$23,A15)+SUMIFS('Payroll Register'!P$4:P$23,'Payroll Register'!A$4:A$23,A15)</f>
        <v>250.57999999999998</v>
      </c>
      <c r="I15" s="93">
        <f>SUMIFS('Prior YTD (Jan-May)'!I$4:I$23,'Prior YTD (Jan-May)'!A$4:A$23,A15)+SUMIFS('Payroll Register'!Q$4:Q$23,'Payroll Register'!A$4:A$23,A15)</f>
        <v>948.74</v>
      </c>
      <c r="J15" s="93">
        <f t="shared" si="0"/>
        <v>4789.2269230769234</v>
      </c>
      <c r="K15" s="93">
        <f>SUMIFS('Prior YTD (Jan-May)'!K$4:K$23,'Prior YTD (Jan-May)'!A$4:A$23,A15)+SUMIFS('Payroll Register'!S$4:S$23,'Payroll Register'!A$4:A$23,A15)</f>
        <v>124.80615384615385</v>
      </c>
      <c r="L15" s="93">
        <f>SUMIFS('Prior YTD (Jan-May)'!L$4:L$23,'Prior YTD (Jan-May)'!A$4:A$23,A15)+SUMIFS('Payroll Register'!T$4:T$23,'Payroll Register'!A$4:A$23,A15)</f>
        <v>19.040769230769229</v>
      </c>
      <c r="M15" s="93">
        <f>SUMIFS('Prior YTD (Jan-May)'!M$4:M$23,'Prior YTD (Jan-May)'!A$4:A$23,A15)+SUMIFS('Payroll Register'!U$4:U$23,'Payroll Register'!A$4:A$23,A15)</f>
        <v>0</v>
      </c>
      <c r="N15" s="93">
        <f>SUMIFS('Prior YTD (Jan-May)'!N$4:N$23,'Prior YTD (Jan-May)'!A$4:A$23,A15)+SUMIFS('Payroll Register'!V$4:V$23,'Payroll Register'!A$4:A$23,A15)</f>
        <v>0</v>
      </c>
      <c r="O15" s="93">
        <f t="shared" si="1"/>
        <v>143.84692307692308</v>
      </c>
      <c r="P15" s="93">
        <f t="shared" si="2"/>
        <v>12348.176153846154</v>
      </c>
      <c r="Q15" s="94">
        <f t="shared" si="3"/>
        <v>0.27710000000000001</v>
      </c>
      <c r="R15" s="94">
        <f t="shared" si="4"/>
        <v>0</v>
      </c>
      <c r="S15" s="95">
        <f t="shared" si="5"/>
        <v>158818.75</v>
      </c>
      <c r="T15" s="96" t="str">
        <f t="shared" si="6"/>
        <v>Within Safe Limit</v>
      </c>
      <c r="U15" s="97">
        <f t="shared" si="7"/>
        <v>40846.589999999997</v>
      </c>
      <c r="V15" s="98">
        <f t="shared" si="8"/>
        <v>15</v>
      </c>
    </row>
    <row r="16" spans="1:22" ht="18" customHeight="1" x14ac:dyDescent="0.3">
      <c r="A16" s="99" t="s">
        <v>277</v>
      </c>
      <c r="B16" s="84" t="str">
        <f>IFERROR(INDEX('Employee Master'!B$4:B$23,MATCH(A16,'Employee Master'!A$4:A$23,0)),"")</f>
        <v>Taylor</v>
      </c>
      <c r="C16" s="84" t="str">
        <f>IFERROR(INDEX('Employee Master'!C$4:C$23,MATCH(A16,'Employee Master'!A$4:A$23,0)),"")</f>
        <v>Kevin</v>
      </c>
      <c r="D16" s="84" t="str">
        <f>IFERROR(INDEX('Employee Master'!E$4:E$23,MATCH(A16,'Employee Master'!A$4:A$23,0)),"")</f>
        <v>Information Technology</v>
      </c>
      <c r="E16" s="85">
        <f>SUMIFS('Prior YTD (Jan-May)'!E$4:E$23,'Prior YTD (Jan-May)'!A$4:A$23,A16)+SUMIFS('Payroll Register'!M$4:M$23,'Payroll Register'!A$4:A$23,A16)</f>
        <v>44423.07153846154</v>
      </c>
      <c r="F16" s="85">
        <f>SUMIFS('Prior YTD (Jan-May)'!F$4:F$23,'Prior YTD (Jan-May)'!A$4:A$23,A16)+SUMIFS('Payroll Register'!N$4:N$23,'Payroll Register'!A$4:A$23,A16)</f>
        <v>7202.0407692307699</v>
      </c>
      <c r="G16" s="85">
        <f>SUMIFS('Prior YTD (Jan-May)'!G$4:G$23,'Prior YTD (Jan-May)'!A$4:A$23,A16)+SUMIFS('Payroll Register'!O$4:O$23,'Payroll Register'!A$4:A$23,A16)</f>
        <v>2754.23</v>
      </c>
      <c r="H16" s="85">
        <f>SUMIFS('Prior YTD (Jan-May)'!H$4:H$23,'Prior YTD (Jan-May)'!A$4:A$23,A16)+SUMIFS('Payroll Register'!P$4:P$23,'Payroll Register'!A$4:A$23,A16)</f>
        <v>644.1400000000001</v>
      </c>
      <c r="I16" s="85">
        <f>SUMIFS('Prior YTD (Jan-May)'!I$4:I$23,'Prior YTD (Jan-May)'!A$4:A$23,A16)+SUMIFS('Payroll Register'!Q$4:Q$23,'Payroll Register'!A$4:A$23,A16)</f>
        <v>2438.83</v>
      </c>
      <c r="J16" s="85">
        <f t="shared" si="0"/>
        <v>13039.24076923077</v>
      </c>
      <c r="K16" s="85">
        <f>SUMIFS('Prior YTD (Jan-May)'!K$4:K$23,'Prior YTD (Jan-May)'!A$4:A$23,A16)+SUMIFS('Payroll Register'!S$4:S$23,'Payroll Register'!A$4:A$23,A16)</f>
        <v>359.6123076923077</v>
      </c>
      <c r="L16" s="85">
        <f>SUMIFS('Prior YTD (Jan-May)'!L$4:L$23,'Prior YTD (Jan-May)'!A$4:A$23,A16)+SUMIFS('Payroll Register'!T$4:T$23,'Payroll Register'!A$4:A$23,A16)</f>
        <v>19.040769230769229</v>
      </c>
      <c r="M16" s="85">
        <f>SUMIFS('Prior YTD (Jan-May)'!M$4:M$23,'Prior YTD (Jan-May)'!A$4:A$23,A16)+SUMIFS('Payroll Register'!U$4:U$23,'Payroll Register'!A$4:A$23,A16)</f>
        <v>6.3469230769230762</v>
      </c>
      <c r="N16" s="85">
        <f>SUMIFS('Prior YTD (Jan-May)'!N$4:N$23,'Prior YTD (Jan-May)'!A$4:A$23,A16)+SUMIFS('Payroll Register'!V$4:V$23,'Payroll Register'!A$4:A$23,A16)</f>
        <v>3553.85</v>
      </c>
      <c r="O16" s="85">
        <f t="shared" si="1"/>
        <v>3938.85</v>
      </c>
      <c r="P16" s="85">
        <f t="shared" si="2"/>
        <v>27444.980769230773</v>
      </c>
      <c r="Q16" s="86">
        <f t="shared" si="3"/>
        <v>0.29349999999999998</v>
      </c>
      <c r="R16" s="86">
        <f t="shared" si="4"/>
        <v>0.08</v>
      </c>
      <c r="S16" s="87">
        <f t="shared" si="5"/>
        <v>131676.92846153845</v>
      </c>
      <c r="T16" s="88" t="str">
        <f t="shared" si="6"/>
        <v>Within Safe Limit</v>
      </c>
      <c r="U16" s="89">
        <f t="shared" si="7"/>
        <v>104999.99</v>
      </c>
      <c r="V16" s="90">
        <f t="shared" si="8"/>
        <v>15</v>
      </c>
    </row>
    <row r="17" spans="1:22" ht="18" customHeight="1" x14ac:dyDescent="0.3">
      <c r="A17" s="91" t="s">
        <v>278</v>
      </c>
      <c r="B17" s="92" t="str">
        <f>IFERROR(INDEX('Employee Master'!B$4:B$23,MATCH(A17,'Employee Master'!A$4:A$23,0)),"")</f>
        <v>Anderson</v>
      </c>
      <c r="C17" s="92" t="str">
        <f>IFERROR(INDEX('Employee Master'!C$4:C$23,MATCH(A17,'Employee Master'!A$4:A$23,0)),"")</f>
        <v>Lisa</v>
      </c>
      <c r="D17" s="92" t="str">
        <f>IFERROR(INDEX('Employee Master'!E$4:E$23,MATCH(A17,'Employee Master'!A$4:A$23,0)),"")</f>
        <v>Information Technology</v>
      </c>
      <c r="E17" s="93">
        <f>SUMIFS('Prior YTD (Jan-May)'!E$4:E$23,'Prior YTD (Jan-May)'!A$4:A$23,A17)+SUMIFS('Payroll Register'!M$4:M$23,'Payroll Register'!A$4:A$23,A17)</f>
        <v>34692.306153846155</v>
      </c>
      <c r="F17" s="93">
        <f>SUMIFS('Prior YTD (Jan-May)'!F$4:F$23,'Prior YTD (Jan-May)'!A$4:A$23,A17)+SUMIFS('Payroll Register'!N$4:N$23,'Payroll Register'!A$4:A$23,A17)</f>
        <v>5061.2653846153844</v>
      </c>
      <c r="G17" s="93">
        <f>SUMIFS('Prior YTD (Jan-May)'!G$4:G$23,'Prior YTD (Jan-May)'!A$4:A$23,A17)+SUMIFS('Payroll Register'!O$4:O$23,'Payroll Register'!A$4:A$23,A17)</f>
        <v>2150.92</v>
      </c>
      <c r="H17" s="93">
        <f>SUMIFS('Prior YTD (Jan-May)'!H$4:H$23,'Prior YTD (Jan-May)'!A$4:A$23,A17)+SUMIFS('Payroll Register'!P$4:P$23,'Payroll Register'!A$4:A$23,A17)</f>
        <v>503.04</v>
      </c>
      <c r="I17" s="93">
        <f>SUMIFS('Prior YTD (Jan-May)'!I$4:I$23,'Prior YTD (Jan-May)'!A$4:A$23,A17)+SUMIFS('Payroll Register'!Q$4:Q$23,'Payroll Register'!A$4:A$23,A17)</f>
        <v>1904.6100000000001</v>
      </c>
      <c r="J17" s="93">
        <f t="shared" si="0"/>
        <v>9619.8353846153841</v>
      </c>
      <c r="K17" s="93">
        <f>SUMIFS('Prior YTD (Jan-May)'!K$4:K$23,'Prior YTD (Jan-May)'!A$4:A$23,A17)+SUMIFS('Payroll Register'!S$4:S$23,'Payroll Register'!A$4:A$23,A17)</f>
        <v>359.6123076923077</v>
      </c>
      <c r="L17" s="93">
        <f>SUMIFS('Prior YTD (Jan-May)'!L$4:L$23,'Prior YTD (Jan-May)'!A$4:A$23,A17)+SUMIFS('Payroll Register'!T$4:T$23,'Payroll Register'!A$4:A$23,A17)</f>
        <v>19.040769230769229</v>
      </c>
      <c r="M17" s="93">
        <f>SUMIFS('Prior YTD (Jan-May)'!M$4:M$23,'Prior YTD (Jan-May)'!A$4:A$23,A17)+SUMIFS('Payroll Register'!U$4:U$23,'Payroll Register'!A$4:A$23,A17)</f>
        <v>6.3469230769230762</v>
      </c>
      <c r="N17" s="93">
        <f>SUMIFS('Prior YTD (Jan-May)'!N$4:N$23,'Prior YTD (Jan-May)'!A$4:A$23,A17)+SUMIFS('Payroll Register'!V$4:V$23,'Payroll Register'!A$4:A$23,A17)</f>
        <v>2081.54</v>
      </c>
      <c r="O17" s="93">
        <f t="shared" si="1"/>
        <v>2466.54</v>
      </c>
      <c r="P17" s="93">
        <f t="shared" si="2"/>
        <v>22605.93076923077</v>
      </c>
      <c r="Q17" s="94">
        <f t="shared" si="3"/>
        <v>0.27729999999999999</v>
      </c>
      <c r="R17" s="94">
        <f t="shared" si="4"/>
        <v>0.06</v>
      </c>
      <c r="S17" s="95">
        <f t="shared" si="5"/>
        <v>141407.69384615385</v>
      </c>
      <c r="T17" s="96" t="str">
        <f t="shared" si="6"/>
        <v>Within Safe Limit</v>
      </c>
      <c r="U17" s="97">
        <f t="shared" si="7"/>
        <v>82000</v>
      </c>
      <c r="V17" s="98">
        <f t="shared" si="8"/>
        <v>15</v>
      </c>
    </row>
    <row r="18" spans="1:22" ht="18" customHeight="1" x14ac:dyDescent="0.3">
      <c r="A18" s="99" t="s">
        <v>279</v>
      </c>
      <c r="B18" s="84" t="str">
        <f>IFERROR(INDEX('Employee Master'!B$4:B$23,MATCH(A18,'Employee Master'!A$4:A$23,0)),"")</f>
        <v>Thomas</v>
      </c>
      <c r="C18" s="84" t="str">
        <f>IFERROR(INDEX('Employee Master'!C$4:C$23,MATCH(A18,'Employee Master'!A$4:A$23,0)),"")</f>
        <v>Brian</v>
      </c>
      <c r="D18" s="84" t="str">
        <f>IFERROR(INDEX('Employee Master'!E$4:E$23,MATCH(A18,'Employee Master'!A$4:A$23,0)),"")</f>
        <v>Information Technology</v>
      </c>
      <c r="E18" s="85">
        <f>SUMIFS('Prior YTD (Jan-May)'!E$4:E$23,'Prior YTD (Jan-May)'!A$4:A$23,A18)+SUMIFS('Payroll Register'!M$4:M$23,'Payroll Register'!A$4:A$23,A18)</f>
        <v>37230.765384615384</v>
      </c>
      <c r="F18" s="85">
        <f>SUMIFS('Prior YTD (Jan-May)'!F$4:F$23,'Prior YTD (Jan-May)'!A$4:A$23,A18)+SUMIFS('Payroll Register'!N$4:N$23,'Payroll Register'!A$4:A$23,A18)</f>
        <v>7170.7346153846156</v>
      </c>
      <c r="G18" s="85">
        <f>SUMIFS('Prior YTD (Jan-May)'!G$4:G$23,'Prior YTD (Jan-May)'!A$4:A$23,A18)+SUMIFS('Payroll Register'!O$4:O$23,'Payroll Register'!A$4:A$23,A18)</f>
        <v>2308.31</v>
      </c>
      <c r="H18" s="85">
        <f>SUMIFS('Prior YTD (Jan-May)'!H$4:H$23,'Prior YTD (Jan-May)'!A$4:A$23,A18)+SUMIFS('Payroll Register'!P$4:P$23,'Payroll Register'!A$4:A$23,A18)</f>
        <v>539.85</v>
      </c>
      <c r="I18" s="85">
        <f>SUMIFS('Prior YTD (Jan-May)'!I$4:I$23,'Prior YTD (Jan-May)'!A$4:A$23,A18)+SUMIFS('Payroll Register'!Q$4:Q$23,'Payroll Register'!A$4:A$23,A18)</f>
        <v>2043.97</v>
      </c>
      <c r="J18" s="85">
        <f t="shared" si="0"/>
        <v>12062.864615384615</v>
      </c>
      <c r="K18" s="85">
        <f>SUMIFS('Prior YTD (Jan-May)'!K$4:K$23,'Prior YTD (Jan-May)'!A$4:A$23,A18)+SUMIFS('Payroll Register'!S$4:S$23,'Payroll Register'!A$4:A$23,A18)</f>
        <v>232.69384615384615</v>
      </c>
      <c r="L18" s="85">
        <f>SUMIFS('Prior YTD (Jan-May)'!L$4:L$23,'Prior YTD (Jan-May)'!A$4:A$23,A18)+SUMIFS('Payroll Register'!T$4:T$23,'Payroll Register'!A$4:A$23,A18)</f>
        <v>19.040769230769229</v>
      </c>
      <c r="M18" s="85">
        <f>SUMIFS('Prior YTD (Jan-May)'!M$4:M$23,'Prior YTD (Jan-May)'!A$4:A$23,A18)+SUMIFS('Payroll Register'!U$4:U$23,'Payroll Register'!A$4:A$23,A18)</f>
        <v>6.3469230769230762</v>
      </c>
      <c r="N18" s="85">
        <f>SUMIFS('Prior YTD (Jan-May)'!N$4:N$23,'Prior YTD (Jan-May)'!A$4:A$23,A18)+SUMIFS('Payroll Register'!V$4:V$23,'Payroll Register'!A$4:A$23,A18)</f>
        <v>2233.85</v>
      </c>
      <c r="O18" s="85">
        <f t="shared" si="1"/>
        <v>2491.9315384615384</v>
      </c>
      <c r="P18" s="85">
        <f t="shared" si="2"/>
        <v>22675.969230769231</v>
      </c>
      <c r="Q18" s="86">
        <f t="shared" si="3"/>
        <v>0.32400000000000001</v>
      </c>
      <c r="R18" s="86">
        <f t="shared" si="4"/>
        <v>0.06</v>
      </c>
      <c r="S18" s="87">
        <f t="shared" si="5"/>
        <v>138869.2346153846</v>
      </c>
      <c r="T18" s="88" t="str">
        <f t="shared" si="6"/>
        <v>Within Safe Limit</v>
      </c>
      <c r="U18" s="89">
        <f t="shared" si="7"/>
        <v>87999.99</v>
      </c>
      <c r="V18" s="90">
        <f t="shared" si="8"/>
        <v>15</v>
      </c>
    </row>
    <row r="19" spans="1:22" ht="18" customHeight="1" x14ac:dyDescent="0.3">
      <c r="A19" s="91" t="s">
        <v>280</v>
      </c>
      <c r="B19" s="92" t="str">
        <f>IFERROR(INDEX('Employee Master'!B$4:B$23,MATCH(A19,'Employee Master'!A$4:A$23,0)),"")</f>
        <v>Jackson</v>
      </c>
      <c r="C19" s="92" t="str">
        <f>IFERROR(INDEX('Employee Master'!C$4:C$23,MATCH(A19,'Employee Master'!A$4:A$23,0)),"")</f>
        <v>Nicole</v>
      </c>
      <c r="D19" s="92" t="str">
        <f>IFERROR(INDEX('Employee Master'!E$4:E$23,MATCH(A19,'Employee Master'!A$4:A$23,0)),"")</f>
        <v>Information Technology</v>
      </c>
      <c r="E19" s="93">
        <f>SUMIFS('Prior YTD (Jan-May)'!E$4:E$23,'Prior YTD (Jan-May)'!A$4:A$23,A19)+SUMIFS('Payroll Register'!M$4:M$23,'Payroll Register'!A$4:A$23,A19)</f>
        <v>17430</v>
      </c>
      <c r="F19" s="93">
        <f>SUMIFS('Prior YTD (Jan-May)'!F$4:F$23,'Prior YTD (Jan-May)'!A$4:A$23,A19)+SUMIFS('Payroll Register'!N$4:N$23,'Payroll Register'!A$4:A$23,A19)</f>
        <v>2551.1969230769232</v>
      </c>
      <c r="G19" s="93">
        <f>SUMIFS('Prior YTD (Jan-May)'!G$4:G$23,'Prior YTD (Jan-May)'!A$4:A$23,A19)+SUMIFS('Payroll Register'!O$4:O$23,'Payroll Register'!A$4:A$23,A19)</f>
        <v>1080.6599999999999</v>
      </c>
      <c r="H19" s="93">
        <f>SUMIFS('Prior YTD (Jan-May)'!H$4:H$23,'Prior YTD (Jan-May)'!A$4:A$23,A19)+SUMIFS('Payroll Register'!P$4:P$23,'Payroll Register'!A$4:A$23,A19)</f>
        <v>252.73000000000002</v>
      </c>
      <c r="I19" s="93">
        <f>SUMIFS('Prior YTD (Jan-May)'!I$4:I$23,'Prior YTD (Jan-May)'!A$4:A$23,A19)+SUMIFS('Payroll Register'!Q$4:Q$23,'Payroll Register'!A$4:A$23,A19)</f>
        <v>956.91</v>
      </c>
      <c r="J19" s="93">
        <f t="shared" si="0"/>
        <v>4841.4969230769229</v>
      </c>
      <c r="K19" s="93">
        <f>SUMIFS('Prior YTD (Jan-May)'!K$4:K$23,'Prior YTD (Jan-May)'!A$4:A$23,A19)+SUMIFS('Payroll Register'!S$4:S$23,'Payroll Register'!A$4:A$23,A19)</f>
        <v>124.80615384615385</v>
      </c>
      <c r="L19" s="93">
        <f>SUMIFS('Prior YTD (Jan-May)'!L$4:L$23,'Prior YTD (Jan-May)'!A$4:A$23,A19)+SUMIFS('Payroll Register'!T$4:T$23,'Payroll Register'!A$4:A$23,A19)</f>
        <v>19.040769230769229</v>
      </c>
      <c r="M19" s="93">
        <f>SUMIFS('Prior YTD (Jan-May)'!M$4:M$23,'Prior YTD (Jan-May)'!A$4:A$23,A19)+SUMIFS('Payroll Register'!U$4:U$23,'Payroll Register'!A$4:A$23,A19)</f>
        <v>0</v>
      </c>
      <c r="N19" s="93">
        <f>SUMIFS('Prior YTD (Jan-May)'!N$4:N$23,'Prior YTD (Jan-May)'!A$4:A$23,A19)+SUMIFS('Payroll Register'!V$4:V$23,'Payroll Register'!A$4:A$23,A19)</f>
        <v>348.6</v>
      </c>
      <c r="O19" s="93">
        <f t="shared" si="1"/>
        <v>492.4469230769231</v>
      </c>
      <c r="P19" s="93">
        <f t="shared" si="2"/>
        <v>12096.056153846153</v>
      </c>
      <c r="Q19" s="94">
        <f t="shared" si="3"/>
        <v>0.27779999999999999</v>
      </c>
      <c r="R19" s="94">
        <f t="shared" si="4"/>
        <v>0.02</v>
      </c>
      <c r="S19" s="95">
        <f t="shared" si="5"/>
        <v>158670</v>
      </c>
      <c r="T19" s="96" t="str">
        <f t="shared" si="6"/>
        <v>Within Safe Limit</v>
      </c>
      <c r="U19" s="97">
        <f t="shared" si="7"/>
        <v>41198.18</v>
      </c>
      <c r="V19" s="98">
        <f t="shared" si="8"/>
        <v>15</v>
      </c>
    </row>
    <row r="20" spans="1:22" ht="18" customHeight="1" x14ac:dyDescent="0.3">
      <c r="A20" s="99" t="s">
        <v>281</v>
      </c>
      <c r="B20" s="84" t="str">
        <f>IFERROR(INDEX('Employee Master'!B$4:B$23,MATCH(A20,'Employee Master'!A$4:A$23,0)),"")</f>
        <v>White</v>
      </c>
      <c r="C20" s="84" t="str">
        <f>IFERROR(INDEX('Employee Master'!C$4:C$23,MATCH(A20,'Employee Master'!A$4:A$23,0)),"")</f>
        <v>Christopher</v>
      </c>
      <c r="D20" s="84" t="str">
        <f>IFERROR(INDEX('Employee Master'!E$4:E$23,MATCH(A20,'Employee Master'!A$4:A$23,0)),"")</f>
        <v>Sales</v>
      </c>
      <c r="E20" s="85">
        <f>SUMIFS('Prior YTD (Jan-May)'!E$4:E$23,'Prior YTD (Jan-May)'!A$4:A$23,A20)+SUMIFS('Payroll Register'!M$4:M$23,'Payroll Register'!A$4:A$23,A20)</f>
        <v>69384.61230769231</v>
      </c>
      <c r="F20" s="85">
        <f>SUMIFS('Prior YTD (Jan-May)'!F$4:F$23,'Prior YTD (Jan-May)'!A$4:A$23,A20)+SUMIFS('Payroll Register'!N$4:N$23,'Payroll Register'!A$4:A$23,A20)</f>
        <v>13119.612307692307</v>
      </c>
      <c r="G20" s="85">
        <f>SUMIFS('Prior YTD (Jan-May)'!G$4:G$23,'Prior YTD (Jan-May)'!A$4:A$23,A20)+SUMIFS('Payroll Register'!O$4:O$23,'Payroll Register'!A$4:A$23,A20)</f>
        <v>4301.8500000000004</v>
      </c>
      <c r="H20" s="85">
        <f>SUMIFS('Prior YTD (Jan-May)'!H$4:H$23,'Prior YTD (Jan-May)'!A$4:A$23,A20)+SUMIFS('Payroll Register'!P$4:P$23,'Payroll Register'!A$4:A$23,A20)</f>
        <v>1006.08</v>
      </c>
      <c r="I20" s="85">
        <f>SUMIFS('Prior YTD (Jan-May)'!I$4:I$23,'Prior YTD (Jan-May)'!A$4:A$23,A20)+SUMIFS('Payroll Register'!Q$4:Q$23,'Payroll Register'!A$4:A$23,A20)</f>
        <v>3809.21</v>
      </c>
      <c r="J20" s="85">
        <f t="shared" si="0"/>
        <v>22236.75230769231</v>
      </c>
      <c r="K20" s="85">
        <f>SUMIFS('Prior YTD (Jan-May)'!K$4:K$23,'Prior YTD (Jan-May)'!A$4:A$23,A20)+SUMIFS('Payroll Register'!S$4:S$23,'Payroll Register'!A$4:A$23,A20)</f>
        <v>359.6123076923077</v>
      </c>
      <c r="L20" s="85">
        <f>SUMIFS('Prior YTD (Jan-May)'!L$4:L$23,'Prior YTD (Jan-May)'!A$4:A$23,A20)+SUMIFS('Payroll Register'!T$4:T$23,'Payroll Register'!A$4:A$23,A20)</f>
        <v>19.040769230769229</v>
      </c>
      <c r="M20" s="85">
        <f>SUMIFS('Prior YTD (Jan-May)'!M$4:M$23,'Prior YTD (Jan-May)'!A$4:A$23,A20)+SUMIFS('Payroll Register'!U$4:U$23,'Payroll Register'!A$4:A$23,A20)</f>
        <v>6.3469230769230762</v>
      </c>
      <c r="N20" s="85">
        <f>SUMIFS('Prior YTD (Jan-May)'!N$4:N$23,'Prior YTD (Jan-May)'!A$4:A$23,A20)+SUMIFS('Payroll Register'!V$4:V$23,'Payroll Register'!A$4:A$23,A20)</f>
        <v>6938.4599999999991</v>
      </c>
      <c r="O20" s="85">
        <f t="shared" si="1"/>
        <v>7323.4599999999991</v>
      </c>
      <c r="P20" s="85">
        <f t="shared" si="2"/>
        <v>39824.400000000001</v>
      </c>
      <c r="Q20" s="86">
        <f t="shared" si="3"/>
        <v>0.32050000000000001</v>
      </c>
      <c r="R20" s="86">
        <f t="shared" si="4"/>
        <v>0.1</v>
      </c>
      <c r="S20" s="87">
        <f t="shared" si="5"/>
        <v>106715.38769230769</v>
      </c>
      <c r="T20" s="88" t="str">
        <f t="shared" si="6"/>
        <v>Within Safe Limit</v>
      </c>
      <c r="U20" s="89">
        <f t="shared" si="7"/>
        <v>163999.99</v>
      </c>
      <c r="V20" s="90">
        <f t="shared" si="8"/>
        <v>15</v>
      </c>
    </row>
    <row r="21" spans="1:22" ht="18" customHeight="1" x14ac:dyDescent="0.3">
      <c r="A21" s="91" t="s">
        <v>282</v>
      </c>
      <c r="B21" s="92" t="str">
        <f>IFERROR(INDEX('Employee Master'!B$4:B$23,MATCH(A21,'Employee Master'!A$4:A$23,0)),"")</f>
        <v>Harris</v>
      </c>
      <c r="C21" s="92" t="str">
        <f>IFERROR(INDEX('Employee Master'!C$4:C$23,MATCH(A21,'Employee Master'!A$4:A$23,0)),"")</f>
        <v>Megan</v>
      </c>
      <c r="D21" s="92" t="str">
        <f>IFERROR(INDEX('Employee Master'!E$4:E$23,MATCH(A21,'Employee Master'!A$4:A$23,0)),"")</f>
        <v>Sales</v>
      </c>
      <c r="E21" s="93">
        <f>SUMIFS('Prior YTD (Jan-May)'!E$4:E$23,'Prior YTD (Jan-May)'!A$4:A$23,A21)+SUMIFS('Payroll Register'!M$4:M$23,'Payroll Register'!A$4:A$23,A21)</f>
        <v>36207.693846153845</v>
      </c>
      <c r="F21" s="93">
        <f>SUMIFS('Prior YTD (Jan-May)'!F$4:F$23,'Prior YTD (Jan-May)'!A$4:A$23,A21)+SUMIFS('Payroll Register'!N$4:N$23,'Payroll Register'!A$4:A$23,A21)</f>
        <v>5394.6530769230767</v>
      </c>
      <c r="G21" s="93">
        <f>SUMIFS('Prior YTD (Jan-May)'!G$4:G$23,'Prior YTD (Jan-May)'!A$4:A$23,A21)+SUMIFS('Payroll Register'!O$4:O$23,'Payroll Register'!A$4:A$23,A21)</f>
        <v>2244.88</v>
      </c>
      <c r="H21" s="93">
        <f>SUMIFS('Prior YTD (Jan-May)'!H$4:H$23,'Prior YTD (Jan-May)'!A$4:A$23,A21)+SUMIFS('Payroll Register'!P$4:P$23,'Payroll Register'!A$4:A$23,A21)</f>
        <v>525.01</v>
      </c>
      <c r="I21" s="93">
        <f>SUMIFS('Prior YTD (Jan-May)'!I$4:I$23,'Prior YTD (Jan-May)'!A$4:A$23,A21)+SUMIFS('Payroll Register'!Q$4:Q$23,'Payroll Register'!A$4:A$23,A21)</f>
        <v>1987.8000000000002</v>
      </c>
      <c r="J21" s="93">
        <f t="shared" si="0"/>
        <v>10152.343076923076</v>
      </c>
      <c r="K21" s="93">
        <f>SUMIFS('Prior YTD (Jan-May)'!K$4:K$23,'Prior YTD (Jan-May)'!A$4:A$23,A21)+SUMIFS('Payroll Register'!S$4:S$23,'Payroll Register'!A$4:A$23,A21)</f>
        <v>359.6123076923077</v>
      </c>
      <c r="L21" s="93">
        <f>SUMIFS('Prior YTD (Jan-May)'!L$4:L$23,'Prior YTD (Jan-May)'!A$4:A$23,A21)+SUMIFS('Payroll Register'!T$4:T$23,'Payroll Register'!A$4:A$23,A21)</f>
        <v>19.040769230769229</v>
      </c>
      <c r="M21" s="93">
        <f>SUMIFS('Prior YTD (Jan-May)'!M$4:M$23,'Prior YTD (Jan-May)'!A$4:A$23,A21)+SUMIFS('Payroll Register'!U$4:U$23,'Payroll Register'!A$4:A$23,A21)</f>
        <v>6.3469230769230762</v>
      </c>
      <c r="N21" s="93">
        <f>SUMIFS('Prior YTD (Jan-May)'!N$4:N$23,'Prior YTD (Jan-May)'!A$4:A$23,A21)+SUMIFS('Payroll Register'!V$4:V$23,'Payroll Register'!A$4:A$23,A21)</f>
        <v>1810.3899999999999</v>
      </c>
      <c r="O21" s="93">
        <f t="shared" si="1"/>
        <v>2195.39</v>
      </c>
      <c r="P21" s="93">
        <f t="shared" si="2"/>
        <v>23859.960769230769</v>
      </c>
      <c r="Q21" s="94">
        <f t="shared" si="3"/>
        <v>0.28039999999999998</v>
      </c>
      <c r="R21" s="94">
        <f t="shared" si="4"/>
        <v>0.05</v>
      </c>
      <c r="S21" s="95">
        <f t="shared" si="5"/>
        <v>139892.30615384615</v>
      </c>
      <c r="T21" s="96" t="str">
        <f t="shared" si="6"/>
        <v>Within Safe Limit</v>
      </c>
      <c r="U21" s="97">
        <f t="shared" si="7"/>
        <v>85581.82</v>
      </c>
      <c r="V21" s="98">
        <f t="shared" si="8"/>
        <v>15</v>
      </c>
    </row>
    <row r="22" spans="1:22" ht="18" customHeight="1" x14ac:dyDescent="0.3">
      <c r="A22" s="99" t="s">
        <v>283</v>
      </c>
      <c r="B22" s="84" t="str">
        <f>IFERROR(INDEX('Employee Master'!B$4:B$23,MATCH(A22,'Employee Master'!A$4:A$23,0)),"")</f>
        <v>Martin</v>
      </c>
      <c r="C22" s="84" t="str">
        <f>IFERROR(INDEX('Employee Master'!C$4:C$23,MATCH(A22,'Employee Master'!A$4:A$23,0)),"")</f>
        <v>Tyler</v>
      </c>
      <c r="D22" s="84" t="str">
        <f>IFERROR(INDEX('Employee Master'!E$4:E$23,MATCH(A22,'Employee Master'!A$4:A$23,0)),"")</f>
        <v>Sales</v>
      </c>
      <c r="E22" s="85">
        <f>SUMIFS('Prior YTD (Jan-May)'!E$4:E$23,'Prior YTD (Jan-May)'!A$4:A$23,A22)+SUMIFS('Payroll Register'!M$4:M$23,'Payroll Register'!A$4:A$23,A22)</f>
        <v>29330.765384615384</v>
      </c>
      <c r="F22" s="85">
        <f>SUMIFS('Prior YTD (Jan-May)'!F$4:F$23,'Prior YTD (Jan-May)'!A$4:A$23,A22)+SUMIFS('Payroll Register'!N$4:N$23,'Payroll Register'!A$4:A$23,A22)</f>
        <v>5274.7346153846156</v>
      </c>
      <c r="G22" s="85">
        <f>SUMIFS('Prior YTD (Jan-May)'!G$4:G$23,'Prior YTD (Jan-May)'!A$4:A$23,A22)+SUMIFS('Payroll Register'!O$4:O$23,'Payroll Register'!A$4:A$23,A22)</f>
        <v>1818.51</v>
      </c>
      <c r="H22" s="85">
        <f>SUMIFS('Prior YTD (Jan-May)'!H$4:H$23,'Prior YTD (Jan-May)'!A$4:A$23,A22)+SUMIFS('Payroll Register'!P$4:P$23,'Payroll Register'!A$4:A$23,A22)</f>
        <v>425.3</v>
      </c>
      <c r="I22" s="85">
        <f>SUMIFS('Prior YTD (Jan-May)'!I$4:I$23,'Prior YTD (Jan-May)'!A$4:A$23,A22)+SUMIFS('Payroll Register'!Q$4:Q$23,'Payroll Register'!A$4:A$23,A22)</f>
        <v>1610.26</v>
      </c>
      <c r="J22" s="85">
        <f t="shared" si="0"/>
        <v>9128.8046153846153</v>
      </c>
      <c r="K22" s="85">
        <f>SUMIFS('Prior YTD (Jan-May)'!K$4:K$23,'Prior YTD (Jan-May)'!A$4:A$23,A22)+SUMIFS('Payroll Register'!S$4:S$23,'Payroll Register'!A$4:A$23,A22)</f>
        <v>124.80615384615385</v>
      </c>
      <c r="L22" s="85">
        <f>SUMIFS('Prior YTD (Jan-May)'!L$4:L$23,'Prior YTD (Jan-May)'!A$4:A$23,A22)+SUMIFS('Payroll Register'!T$4:T$23,'Payroll Register'!A$4:A$23,A22)</f>
        <v>19.040769230769229</v>
      </c>
      <c r="M22" s="85">
        <f>SUMIFS('Prior YTD (Jan-May)'!M$4:M$23,'Prior YTD (Jan-May)'!A$4:A$23,A22)+SUMIFS('Payroll Register'!U$4:U$23,'Payroll Register'!A$4:A$23,A22)</f>
        <v>6.3469230769230762</v>
      </c>
      <c r="N22" s="85">
        <f>SUMIFS('Prior YTD (Jan-May)'!N$4:N$23,'Prior YTD (Jan-May)'!A$4:A$23,A22)+SUMIFS('Payroll Register'!V$4:V$23,'Payroll Register'!A$4:A$23,A22)</f>
        <v>1173.23</v>
      </c>
      <c r="O22" s="85">
        <f t="shared" si="1"/>
        <v>1323.4238461538462</v>
      </c>
      <c r="P22" s="85">
        <f t="shared" si="2"/>
        <v>18878.536923076921</v>
      </c>
      <c r="Q22" s="86">
        <f t="shared" si="3"/>
        <v>0.31119999999999998</v>
      </c>
      <c r="R22" s="86">
        <f t="shared" si="4"/>
        <v>0.04</v>
      </c>
      <c r="S22" s="87">
        <f t="shared" si="5"/>
        <v>146769.2346153846</v>
      </c>
      <c r="T22" s="88" t="str">
        <f t="shared" si="6"/>
        <v>Within Safe Limit</v>
      </c>
      <c r="U22" s="89">
        <f t="shared" si="7"/>
        <v>69327.259999999995</v>
      </c>
      <c r="V22" s="90">
        <f t="shared" si="8"/>
        <v>15</v>
      </c>
    </row>
    <row r="23" spans="1:22" ht="18" customHeight="1" x14ac:dyDescent="0.3">
      <c r="A23" s="91" t="s">
        <v>284</v>
      </c>
      <c r="B23" s="92" t="str">
        <f>IFERROR(INDEX('Employee Master'!B$4:B$23,MATCH(A23,'Employee Master'!A$4:A$23,0)),"")</f>
        <v>Thompson</v>
      </c>
      <c r="C23" s="92" t="str">
        <f>IFERROR(INDEX('Employee Master'!C$4:C$23,MATCH(A23,'Employee Master'!A$4:A$23,0)),"")</f>
        <v>Ashley</v>
      </c>
      <c r="D23" s="92" t="str">
        <f>IFERROR(INDEX('Employee Master'!E$4:E$23,MATCH(A23,'Employee Master'!A$4:A$23,0)),"")</f>
        <v>Sales</v>
      </c>
      <c r="E23" s="93">
        <f>SUMIFS('Prior YTD (Jan-May)'!E$4:E$23,'Prior YTD (Jan-May)'!A$4:A$23,A23)+SUMIFS('Payroll Register'!M$4:M$23,'Payroll Register'!A$4:A$23,A23)</f>
        <v>15336.5</v>
      </c>
      <c r="F23" s="93">
        <f>SUMIFS('Prior YTD (Jan-May)'!F$4:F$23,'Prior YTD (Jan-May)'!A$4:A$23,A23)+SUMIFS('Payroll Register'!N$4:N$23,'Payroll Register'!A$4:A$23,A23)</f>
        <v>2090.626923076923</v>
      </c>
      <c r="G23" s="93">
        <f>SUMIFS('Prior YTD (Jan-May)'!G$4:G$23,'Prior YTD (Jan-May)'!A$4:A$23,A23)+SUMIFS('Payroll Register'!O$4:O$23,'Payroll Register'!A$4:A$23,A23)</f>
        <v>950.87</v>
      </c>
      <c r="H23" s="93">
        <f>SUMIFS('Prior YTD (Jan-May)'!H$4:H$23,'Prior YTD (Jan-May)'!A$4:A$23,A23)+SUMIFS('Payroll Register'!P$4:P$23,'Payroll Register'!A$4:A$23,A23)</f>
        <v>222.38</v>
      </c>
      <c r="I23" s="93">
        <f>SUMIFS('Prior YTD (Jan-May)'!I$4:I$23,'Prior YTD (Jan-May)'!A$4:A$23,A23)+SUMIFS('Payroll Register'!Q$4:Q$23,'Payroll Register'!A$4:A$23,A23)</f>
        <v>841.96999999999991</v>
      </c>
      <c r="J23" s="93">
        <f t="shared" si="0"/>
        <v>4105.8469230769233</v>
      </c>
      <c r="K23" s="93">
        <f>SUMIFS('Prior YTD (Jan-May)'!K$4:K$23,'Prior YTD (Jan-May)'!A$4:A$23,A23)+SUMIFS('Payroll Register'!S$4:S$23,'Payroll Register'!A$4:A$23,A23)</f>
        <v>124.80615384615385</v>
      </c>
      <c r="L23" s="93">
        <f>SUMIFS('Prior YTD (Jan-May)'!L$4:L$23,'Prior YTD (Jan-May)'!A$4:A$23,A23)+SUMIFS('Payroll Register'!T$4:T$23,'Payroll Register'!A$4:A$23,A23)</f>
        <v>19.040769230769229</v>
      </c>
      <c r="M23" s="93">
        <f>SUMIFS('Prior YTD (Jan-May)'!M$4:M$23,'Prior YTD (Jan-May)'!A$4:A$23,A23)+SUMIFS('Payroll Register'!U$4:U$23,'Payroll Register'!A$4:A$23,A23)</f>
        <v>0</v>
      </c>
      <c r="N23" s="93">
        <f>SUMIFS('Prior YTD (Jan-May)'!N$4:N$23,'Prior YTD (Jan-May)'!A$4:A$23,A23)+SUMIFS('Payroll Register'!V$4:V$23,'Payroll Register'!A$4:A$23,A23)</f>
        <v>0</v>
      </c>
      <c r="O23" s="93">
        <f t="shared" si="1"/>
        <v>143.84692307692308</v>
      </c>
      <c r="P23" s="93">
        <f t="shared" si="2"/>
        <v>11086.806153846155</v>
      </c>
      <c r="Q23" s="94">
        <f t="shared" si="3"/>
        <v>0.26769999999999999</v>
      </c>
      <c r="R23" s="94">
        <f t="shared" si="4"/>
        <v>0</v>
      </c>
      <c r="S23" s="95">
        <f t="shared" si="5"/>
        <v>160763.5</v>
      </c>
      <c r="T23" s="96" t="str">
        <f t="shared" si="6"/>
        <v>Within Safe Limit</v>
      </c>
      <c r="U23" s="97">
        <f t="shared" si="7"/>
        <v>36249.910000000003</v>
      </c>
      <c r="V23" s="98">
        <f t="shared" si="8"/>
        <v>15</v>
      </c>
    </row>
    <row r="24" spans="1:22" ht="18" customHeight="1" x14ac:dyDescent="0.3">
      <c r="A24" s="99" t="s">
        <v>285</v>
      </c>
      <c r="B24" s="84" t="str">
        <f>IFERROR(INDEX('Employee Master'!B$4:B$23,MATCH(A24,'Employee Master'!A$4:A$23,0)),"")</f>
        <v>Garcia</v>
      </c>
      <c r="C24" s="84" t="str">
        <f>IFERROR(INDEX('Employee Master'!C$4:C$23,MATCH(A24,'Employee Master'!A$4:A$23,0)),"")</f>
        <v>Marcus</v>
      </c>
      <c r="D24" s="84" t="str">
        <f>IFERROR(INDEX('Employee Master'!E$4:E$23,MATCH(A24,'Employee Master'!A$4:A$23,0)),"")</f>
        <v>Marketing</v>
      </c>
      <c r="E24" s="85">
        <f>SUMIFS('Prior YTD (Jan-May)'!E$4:E$23,'Prior YTD (Jan-May)'!A$4:A$23,A24)+SUMIFS('Payroll Register'!M$4:M$23,'Payroll Register'!A$4:A$23,A24)</f>
        <v>45692.306153846155</v>
      </c>
      <c r="F24" s="85">
        <f>SUMIFS('Prior YTD (Jan-May)'!F$4:F$23,'Prior YTD (Jan-May)'!A$4:A$23,A24)+SUMIFS('Payroll Register'!N$4:N$23,'Payroll Register'!A$4:A$23,A24)</f>
        <v>7481.2653846153844</v>
      </c>
      <c r="G24" s="85">
        <f>SUMIFS('Prior YTD (Jan-May)'!G$4:G$23,'Prior YTD (Jan-May)'!A$4:A$23,A24)+SUMIFS('Payroll Register'!O$4:O$23,'Payroll Register'!A$4:A$23,A24)</f>
        <v>2832.92</v>
      </c>
      <c r="H24" s="85">
        <f>SUMIFS('Prior YTD (Jan-May)'!H$4:H$23,'Prior YTD (Jan-May)'!A$4:A$23,A24)+SUMIFS('Payroll Register'!P$4:P$23,'Payroll Register'!A$4:A$23,A24)</f>
        <v>662.54</v>
      </c>
      <c r="I24" s="85">
        <f>SUMIFS('Prior YTD (Jan-May)'!I$4:I$23,'Prior YTD (Jan-May)'!A$4:A$23,A24)+SUMIFS('Payroll Register'!Q$4:Q$23,'Payroll Register'!A$4:A$23,A24)</f>
        <v>2508.5100000000002</v>
      </c>
      <c r="J24" s="85">
        <f t="shared" si="0"/>
        <v>13485.235384615384</v>
      </c>
      <c r="K24" s="85">
        <f>SUMIFS('Prior YTD (Jan-May)'!K$4:K$23,'Prior YTD (Jan-May)'!A$4:A$23,A24)+SUMIFS('Payroll Register'!S$4:S$23,'Payroll Register'!A$4:A$23,A24)</f>
        <v>359.6123076923077</v>
      </c>
      <c r="L24" s="85">
        <f>SUMIFS('Prior YTD (Jan-May)'!L$4:L$23,'Prior YTD (Jan-May)'!A$4:A$23,A24)+SUMIFS('Payroll Register'!T$4:T$23,'Payroll Register'!A$4:A$23,A24)</f>
        <v>19.040769230769229</v>
      </c>
      <c r="M24" s="85">
        <f>SUMIFS('Prior YTD (Jan-May)'!M$4:M$23,'Prior YTD (Jan-May)'!A$4:A$23,A24)+SUMIFS('Payroll Register'!U$4:U$23,'Payroll Register'!A$4:A$23,A24)</f>
        <v>6.3469230769230762</v>
      </c>
      <c r="N24" s="85">
        <f>SUMIFS('Prior YTD (Jan-May)'!N$4:N$23,'Prior YTD (Jan-May)'!A$4:A$23,A24)+SUMIFS('Payroll Register'!V$4:V$23,'Payroll Register'!A$4:A$23,A24)</f>
        <v>3655.39</v>
      </c>
      <c r="O24" s="85">
        <f t="shared" si="1"/>
        <v>4040.39</v>
      </c>
      <c r="P24" s="85">
        <f t="shared" si="2"/>
        <v>28166.68076923077</v>
      </c>
      <c r="Q24" s="86">
        <f t="shared" si="3"/>
        <v>0.29509999999999997</v>
      </c>
      <c r="R24" s="86">
        <f t="shared" si="4"/>
        <v>0.08</v>
      </c>
      <c r="S24" s="87">
        <f t="shared" si="5"/>
        <v>130407.69384615385</v>
      </c>
      <c r="T24" s="88" t="str">
        <f t="shared" si="6"/>
        <v>Within Safe Limit</v>
      </c>
      <c r="U24" s="89">
        <f t="shared" si="7"/>
        <v>108000</v>
      </c>
      <c r="V24" s="90">
        <f t="shared" si="8"/>
        <v>15</v>
      </c>
    </row>
    <row r="25" spans="1:22" ht="18" customHeight="1" x14ac:dyDescent="0.3">
      <c r="A25" s="91" t="s">
        <v>286</v>
      </c>
      <c r="B25" s="92" t="str">
        <f>IFERROR(INDEX('Employee Master'!B$4:B$23,MATCH(A25,'Employee Master'!A$4:A$23,0)),"")</f>
        <v>Martinez</v>
      </c>
      <c r="C25" s="92" t="str">
        <f>IFERROR(INDEX('Employee Master'!C$4:C$23,MATCH(A25,'Employee Master'!A$4:A$23,0)),"")</f>
        <v>Sofia</v>
      </c>
      <c r="D25" s="92" t="str">
        <f>IFERROR(INDEX('Employee Master'!E$4:E$23,MATCH(A25,'Employee Master'!A$4:A$23,0)),"")</f>
        <v>Marketing</v>
      </c>
      <c r="E25" s="93">
        <f>SUMIFS('Prior YTD (Jan-May)'!E$4:E$23,'Prior YTD (Jan-May)'!A$4:A$23,A25)+SUMIFS('Payroll Register'!M$4:M$23,'Payroll Register'!A$4:A$23,A25)</f>
        <v>24538.459230769229</v>
      </c>
      <c r="F25" s="93">
        <f>SUMIFS('Prior YTD (Jan-May)'!F$4:F$23,'Prior YTD (Jan-May)'!A$4:A$23,A25)+SUMIFS('Payroll Register'!N$4:N$23,'Payroll Register'!A$4:A$23,A25)</f>
        <v>4124.5715384615387</v>
      </c>
      <c r="G25" s="93">
        <f>SUMIFS('Prior YTD (Jan-May)'!G$4:G$23,'Prior YTD (Jan-May)'!A$4:A$23,A25)+SUMIFS('Payroll Register'!O$4:O$23,'Payroll Register'!A$4:A$23,A25)</f>
        <v>1521.3899999999999</v>
      </c>
      <c r="H25" s="93">
        <f>SUMIFS('Prior YTD (Jan-May)'!H$4:H$23,'Prior YTD (Jan-May)'!A$4:A$23,A25)+SUMIFS('Payroll Register'!P$4:P$23,'Payroll Register'!A$4:A$23,A25)</f>
        <v>355.81</v>
      </c>
      <c r="I25" s="93">
        <f>SUMIFS('Prior YTD (Jan-May)'!I$4:I$23,'Prior YTD (Jan-May)'!A$4:A$23,A25)+SUMIFS('Payroll Register'!Q$4:Q$23,'Payroll Register'!A$4:A$23,A25)</f>
        <v>1347.16</v>
      </c>
      <c r="J25" s="93">
        <f t="shared" si="0"/>
        <v>7348.9315384615393</v>
      </c>
      <c r="K25" s="93">
        <f>SUMIFS('Prior YTD (Jan-May)'!K$4:K$23,'Prior YTD (Jan-May)'!A$4:A$23,A25)+SUMIFS('Payroll Register'!S$4:S$23,'Payroll Register'!A$4:A$23,A25)</f>
        <v>124.80615384615385</v>
      </c>
      <c r="L25" s="93">
        <f>SUMIFS('Prior YTD (Jan-May)'!L$4:L$23,'Prior YTD (Jan-May)'!A$4:A$23,A25)+SUMIFS('Payroll Register'!T$4:T$23,'Payroll Register'!A$4:A$23,A25)</f>
        <v>19.040769230769229</v>
      </c>
      <c r="M25" s="93">
        <f>SUMIFS('Prior YTD (Jan-May)'!M$4:M$23,'Prior YTD (Jan-May)'!A$4:A$23,A25)+SUMIFS('Payroll Register'!U$4:U$23,'Payroll Register'!A$4:A$23,A25)</f>
        <v>6.3469230769230762</v>
      </c>
      <c r="N25" s="93">
        <f>SUMIFS('Prior YTD (Jan-May)'!N$4:N$23,'Prior YTD (Jan-May)'!A$4:A$23,A25)+SUMIFS('Payroll Register'!V$4:V$23,'Payroll Register'!A$4:A$23,A25)</f>
        <v>981.54</v>
      </c>
      <c r="O25" s="93">
        <f t="shared" si="1"/>
        <v>1131.7338461538461</v>
      </c>
      <c r="P25" s="93">
        <f t="shared" si="2"/>
        <v>16057.793846153843</v>
      </c>
      <c r="Q25" s="94">
        <f t="shared" si="3"/>
        <v>0.29949999999999999</v>
      </c>
      <c r="R25" s="94">
        <f t="shared" si="4"/>
        <v>0.04</v>
      </c>
      <c r="S25" s="95">
        <f t="shared" si="5"/>
        <v>151561.54076923078</v>
      </c>
      <c r="T25" s="96" t="str">
        <f t="shared" si="6"/>
        <v>Within Safe Limit</v>
      </c>
      <c r="U25" s="97">
        <f t="shared" si="7"/>
        <v>57999.99</v>
      </c>
      <c r="V25" s="98">
        <f t="shared" si="8"/>
        <v>15</v>
      </c>
    </row>
    <row r="26" spans="1:22" ht="24" customHeight="1" x14ac:dyDescent="0.3">
      <c r="A26" s="198" t="s">
        <v>287</v>
      </c>
      <c r="B26" s="198"/>
      <c r="C26" s="198"/>
      <c r="D26" s="198"/>
      <c r="E26" s="100">
        <f t="shared" ref="E26:P26" si="9">SUM(E6:E25)</f>
        <v>672533.14576923079</v>
      </c>
      <c r="F26" s="100">
        <f t="shared" si="9"/>
        <v>113275.3648076923</v>
      </c>
      <c r="G26" s="100">
        <f t="shared" si="9"/>
        <v>41697.07</v>
      </c>
      <c r="H26" s="100">
        <f t="shared" si="9"/>
        <v>9751.7499999999982</v>
      </c>
      <c r="I26" s="100">
        <f t="shared" si="9"/>
        <v>36922.07</v>
      </c>
      <c r="J26" s="100">
        <f t="shared" si="9"/>
        <v>201646.25480769234</v>
      </c>
      <c r="K26" s="100">
        <f t="shared" si="9"/>
        <v>4835.7353846153837</v>
      </c>
      <c r="L26" s="100">
        <f t="shared" si="9"/>
        <v>380.81538461538457</v>
      </c>
      <c r="M26" s="100">
        <f t="shared" si="9"/>
        <v>101.55076923076922</v>
      </c>
      <c r="N26" s="100">
        <f t="shared" si="9"/>
        <v>39007.18</v>
      </c>
      <c r="O26" s="100">
        <f t="shared" si="9"/>
        <v>44325.281538461539</v>
      </c>
      <c r="P26" s="100">
        <f t="shared" si="9"/>
        <v>426561.60942307685</v>
      </c>
      <c r="Q26" s="101">
        <f>IFERROR(ROUND(AVERAGE(Q6:Q25),4),0)</f>
        <v>0.2969</v>
      </c>
      <c r="R26" s="101">
        <f>IFERROR(ROUND(AVERAGE(R6:R25),4),0)</f>
        <v>4.8500000000000001E-2</v>
      </c>
      <c r="S26" s="102">
        <f>MAX(0,3522000-SUM(E6:E25))</f>
        <v>2849466.854230769</v>
      </c>
      <c r="T26" s="103"/>
      <c r="U26" s="100">
        <f>SUM(U6:U25)</f>
        <v>1589623.7999999998</v>
      </c>
      <c r="V26" s="104">
        <f t="shared" si="8"/>
        <v>15</v>
      </c>
    </row>
    <row r="27" spans="1:22" ht="7.5" customHeight="1" x14ac:dyDescent="0.3">
      <c r="A27" s="189"/>
      <c r="B27" s="189"/>
      <c r="C27" s="189"/>
      <c r="D27" s="189"/>
      <c r="E27" s="189"/>
      <c r="F27" s="189"/>
      <c r="G27" s="189"/>
      <c r="H27" s="189"/>
      <c r="I27" s="189"/>
      <c r="J27" s="189"/>
      <c r="K27" s="189"/>
      <c r="L27" s="189"/>
      <c r="M27" s="189"/>
      <c r="N27" s="189"/>
      <c r="O27" s="189"/>
      <c r="P27" s="189"/>
      <c r="Q27" s="189"/>
      <c r="R27" s="189"/>
      <c r="S27" s="189"/>
      <c r="T27" s="189"/>
      <c r="U27" s="189"/>
      <c r="V27" s="189"/>
    </row>
    <row r="28" spans="1:22" ht="24" customHeight="1" x14ac:dyDescent="0.3">
      <c r="A28" s="199" t="s">
        <v>288</v>
      </c>
      <c r="B28" s="199"/>
      <c r="C28" s="199"/>
      <c r="D28" s="199"/>
      <c r="E28" s="199"/>
      <c r="F28" s="199"/>
      <c r="G28" s="199"/>
      <c r="H28" s="199"/>
      <c r="I28" s="199"/>
      <c r="J28" s="199"/>
      <c r="K28" s="199"/>
      <c r="L28" s="199"/>
      <c r="M28" s="199"/>
      <c r="N28" s="199"/>
      <c r="O28" s="199"/>
      <c r="P28" s="199"/>
      <c r="Q28" s="199"/>
      <c r="R28" s="199"/>
      <c r="S28" s="199"/>
      <c r="T28" s="199"/>
      <c r="U28" s="199"/>
      <c r="V28" s="199"/>
    </row>
    <row r="29" spans="1:22" ht="37.5" customHeight="1" x14ac:dyDescent="0.3">
      <c r="A29" s="105"/>
      <c r="B29" s="200" t="s">
        <v>127</v>
      </c>
      <c r="C29" s="200"/>
      <c r="D29" s="106" t="s">
        <v>289</v>
      </c>
      <c r="E29" s="162" t="s">
        <v>290</v>
      </c>
      <c r="F29" s="162"/>
      <c r="G29" s="162"/>
      <c r="H29" s="162"/>
      <c r="I29" s="162"/>
      <c r="J29" s="162"/>
      <c r="K29" s="162"/>
      <c r="L29" s="162"/>
      <c r="M29" s="162"/>
      <c r="N29" s="162"/>
      <c r="O29" s="162"/>
      <c r="P29" s="162"/>
      <c r="Q29" s="162"/>
      <c r="R29" s="162"/>
      <c r="S29" s="162"/>
      <c r="T29" s="162"/>
      <c r="U29" s="162"/>
      <c r="V29" s="162"/>
    </row>
    <row r="30" spans="1:22" ht="37.5" customHeight="1" x14ac:dyDescent="0.3">
      <c r="A30" s="107"/>
      <c r="B30" s="201" t="s">
        <v>133</v>
      </c>
      <c r="C30" s="201"/>
      <c r="D30" s="108" t="s">
        <v>291</v>
      </c>
      <c r="E30" s="162" t="s">
        <v>292</v>
      </c>
      <c r="F30" s="162"/>
      <c r="G30" s="162"/>
      <c r="H30" s="162"/>
      <c r="I30" s="162"/>
      <c r="J30" s="162"/>
      <c r="K30" s="162"/>
      <c r="L30" s="162"/>
      <c r="M30" s="162"/>
      <c r="N30" s="162"/>
      <c r="O30" s="162"/>
      <c r="P30" s="162"/>
      <c r="Q30" s="162"/>
      <c r="R30" s="162"/>
      <c r="S30" s="162"/>
      <c r="T30" s="162"/>
      <c r="U30" s="162"/>
      <c r="V30" s="162"/>
    </row>
    <row r="31" spans="1:22" ht="37.5" customHeight="1" x14ac:dyDescent="0.3">
      <c r="A31" s="109"/>
      <c r="B31" s="202" t="s">
        <v>145</v>
      </c>
      <c r="C31" s="202"/>
      <c r="D31" s="110" t="s">
        <v>293</v>
      </c>
      <c r="E31" s="162" t="s">
        <v>294</v>
      </c>
      <c r="F31" s="162"/>
      <c r="G31" s="162"/>
      <c r="H31" s="162"/>
      <c r="I31" s="162"/>
      <c r="J31" s="162"/>
      <c r="K31" s="162"/>
      <c r="L31" s="162"/>
      <c r="M31" s="162"/>
      <c r="N31" s="162"/>
      <c r="O31" s="162"/>
      <c r="P31" s="162"/>
      <c r="Q31" s="162"/>
      <c r="R31" s="162"/>
      <c r="S31" s="162"/>
      <c r="T31" s="162"/>
      <c r="U31" s="162"/>
      <c r="V31" s="162"/>
    </row>
    <row r="32" spans="1:22" ht="37.5" customHeight="1" x14ac:dyDescent="0.3">
      <c r="A32" s="111"/>
      <c r="B32" s="203" t="s">
        <v>139</v>
      </c>
      <c r="C32" s="203"/>
      <c r="D32" s="112" t="s">
        <v>295</v>
      </c>
      <c r="E32" s="162" t="s">
        <v>296</v>
      </c>
      <c r="F32" s="162"/>
      <c r="G32" s="162"/>
      <c r="H32" s="162"/>
      <c r="I32" s="162"/>
      <c r="J32" s="162"/>
      <c r="K32" s="162"/>
      <c r="L32" s="162"/>
      <c r="M32" s="162"/>
      <c r="N32" s="162"/>
      <c r="O32" s="162"/>
      <c r="P32" s="162"/>
      <c r="Q32" s="162"/>
      <c r="R32" s="162"/>
      <c r="S32" s="162"/>
      <c r="T32" s="162"/>
      <c r="U32" s="162"/>
      <c r="V32" s="162"/>
    </row>
    <row r="33" spans="1:22" ht="37.5" customHeight="1" x14ac:dyDescent="0.3">
      <c r="A33" s="113"/>
      <c r="B33" s="204" t="s">
        <v>243</v>
      </c>
      <c r="C33" s="204"/>
      <c r="D33" s="114" t="s">
        <v>297</v>
      </c>
      <c r="E33" s="162" t="s">
        <v>298</v>
      </c>
      <c r="F33" s="162"/>
      <c r="G33" s="162"/>
      <c r="H33" s="162"/>
      <c r="I33" s="162"/>
      <c r="J33" s="162"/>
      <c r="K33" s="162"/>
      <c r="L33" s="162"/>
      <c r="M33" s="162"/>
      <c r="N33" s="162"/>
      <c r="O33" s="162"/>
      <c r="P33" s="162"/>
      <c r="Q33" s="162"/>
      <c r="R33" s="162"/>
      <c r="S33" s="162"/>
      <c r="T33" s="162"/>
      <c r="U33" s="162"/>
      <c r="V33" s="162"/>
    </row>
    <row r="34" spans="1:22" ht="37.5" customHeight="1" x14ac:dyDescent="0.3">
      <c r="A34" s="115"/>
      <c r="B34" s="205" t="s">
        <v>130</v>
      </c>
      <c r="C34" s="205"/>
      <c r="D34" s="116" t="s">
        <v>299</v>
      </c>
      <c r="E34" s="162" t="s">
        <v>300</v>
      </c>
      <c r="F34" s="162"/>
      <c r="G34" s="162"/>
      <c r="H34" s="162"/>
      <c r="I34" s="162"/>
      <c r="J34" s="162"/>
      <c r="K34" s="162"/>
      <c r="L34" s="162"/>
      <c r="M34" s="162"/>
      <c r="N34" s="162"/>
      <c r="O34" s="162"/>
      <c r="P34" s="162"/>
      <c r="Q34" s="162"/>
      <c r="R34" s="162"/>
      <c r="S34" s="162"/>
      <c r="T34" s="162"/>
      <c r="U34" s="162"/>
      <c r="V34" s="162"/>
    </row>
    <row r="35" spans="1:22" ht="37.5" customHeight="1" x14ac:dyDescent="0.3">
      <c r="A35" s="117"/>
      <c r="B35" s="206" t="s">
        <v>244</v>
      </c>
      <c r="C35" s="206"/>
      <c r="D35" s="118" t="s">
        <v>301</v>
      </c>
      <c r="E35" s="162" t="s">
        <v>302</v>
      </c>
      <c r="F35" s="162"/>
      <c r="G35" s="162"/>
      <c r="H35" s="162"/>
      <c r="I35" s="162"/>
      <c r="J35" s="162"/>
      <c r="K35" s="162"/>
      <c r="L35" s="162"/>
      <c r="M35" s="162"/>
      <c r="N35" s="162"/>
      <c r="O35" s="162"/>
      <c r="P35" s="162"/>
      <c r="Q35" s="162"/>
      <c r="R35" s="162"/>
      <c r="S35" s="162"/>
      <c r="T35" s="162"/>
      <c r="U35" s="162"/>
      <c r="V35" s="162"/>
    </row>
    <row r="37" spans="1:22" ht="7.5" customHeight="1" x14ac:dyDescent="0.3">
      <c r="A37" s="189"/>
      <c r="B37" s="189"/>
      <c r="C37" s="189"/>
      <c r="D37" s="189"/>
      <c r="E37" s="189"/>
      <c r="F37" s="189"/>
      <c r="G37" s="189"/>
      <c r="H37" s="189"/>
      <c r="I37" s="189"/>
      <c r="J37" s="189"/>
      <c r="K37" s="189"/>
      <c r="L37" s="189"/>
      <c r="M37" s="189"/>
      <c r="N37" s="189"/>
      <c r="O37" s="189"/>
      <c r="P37" s="189"/>
      <c r="Q37" s="189"/>
      <c r="R37" s="189"/>
      <c r="S37" s="189"/>
      <c r="T37" s="189"/>
      <c r="U37" s="189"/>
      <c r="V37" s="189"/>
    </row>
    <row r="38" spans="1:22" ht="18" customHeight="1" x14ac:dyDescent="0.3">
      <c r="A38" s="164" t="s">
        <v>72</v>
      </c>
      <c r="B38" s="164"/>
      <c r="C38" s="164"/>
      <c r="D38" s="164"/>
      <c r="E38" s="164"/>
      <c r="F38" s="164"/>
      <c r="G38" s="164"/>
      <c r="H38" s="164"/>
      <c r="I38" s="164"/>
      <c r="J38" s="164"/>
      <c r="K38" s="164"/>
      <c r="L38" s="164"/>
      <c r="M38" s="164"/>
      <c r="N38" s="164"/>
      <c r="O38" s="164"/>
      <c r="P38" s="164"/>
      <c r="Q38" s="164"/>
      <c r="R38" s="164"/>
      <c r="S38" s="164"/>
      <c r="T38" s="164"/>
      <c r="U38" s="164"/>
      <c r="V38" s="164"/>
    </row>
    <row r="39" spans="1:22" ht="13.5" customHeight="1" x14ac:dyDescent="0.3">
      <c r="A39" s="165" t="s">
        <v>215</v>
      </c>
      <c r="B39" s="165"/>
      <c r="C39" s="165"/>
      <c r="D39" s="165"/>
      <c r="E39" s="165"/>
      <c r="F39" s="165"/>
      <c r="G39" s="165"/>
      <c r="H39" s="165"/>
      <c r="I39" s="165"/>
      <c r="J39" s="165"/>
      <c r="K39" s="165"/>
      <c r="L39" s="165"/>
      <c r="M39" s="165"/>
      <c r="N39" s="165"/>
      <c r="O39" s="165"/>
      <c r="P39" s="165"/>
      <c r="Q39" s="165"/>
      <c r="R39" s="165"/>
      <c r="S39" s="165"/>
      <c r="T39" s="165"/>
      <c r="U39" s="165"/>
      <c r="V39" s="165"/>
    </row>
  </sheetData>
  <sheetProtection algorithmName="SHA-512" hashValue="VTFSD8+IKYGVFuc4f7CF+256BqpmZtGMFSILHYApLnzXnHIZr1HWyWeOe20CWmR9yHdu+I3cwZwzrwlNhGCCTg==" saltValue="v89rSYLf+mXFGYReoHt8CQ==" spinCount="100000" sheet="1" objects="1" scenarios="1"/>
  <mergeCells count="31">
    <mergeCell ref="A37:V37"/>
    <mergeCell ref="A38:V38"/>
    <mergeCell ref="A39:V39"/>
    <mergeCell ref="B33:C33"/>
    <mergeCell ref="E33:V33"/>
    <mergeCell ref="B34:C34"/>
    <mergeCell ref="E34:V34"/>
    <mergeCell ref="B35:C35"/>
    <mergeCell ref="E35:V35"/>
    <mergeCell ref="B30:C30"/>
    <mergeCell ref="E30:V30"/>
    <mergeCell ref="B31:C31"/>
    <mergeCell ref="E31:V31"/>
    <mergeCell ref="B32:C32"/>
    <mergeCell ref="E32:V32"/>
    <mergeCell ref="A26:D26"/>
    <mergeCell ref="A27:V27"/>
    <mergeCell ref="A28:V28"/>
    <mergeCell ref="B29:C29"/>
    <mergeCell ref="E29:V29"/>
    <mergeCell ref="A1:V1"/>
    <mergeCell ref="A2:V2"/>
    <mergeCell ref="A3:V3"/>
    <mergeCell ref="A4:B4"/>
    <mergeCell ref="C4:D4"/>
    <mergeCell ref="E4:F4"/>
    <mergeCell ref="G4:H4"/>
    <mergeCell ref="I4:J4"/>
    <mergeCell ref="K4:L4"/>
    <mergeCell ref="M4:N4"/>
    <mergeCell ref="O4:P4"/>
  </mergeCells>
  <conditionalFormatting sqref="T6:T25">
    <cfRule type="cellIs" dxfId="2" priority="2" operator="equal">
      <formula>"BASE REACHED — STOP SS"</formula>
    </cfRule>
    <cfRule type="cellIs" dxfId="1" priority="3" operator="equal">
      <formula>"WARNING: &gt;85% Used"</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9"/>
  </sheetPr>
  <dimension ref="A1:T26"/>
  <sheetViews>
    <sheetView showGridLines="0" zoomScaleNormal="100" workbookViewId="0">
      <pane xSplit="2" ySplit="3" topLeftCell="C4" activePane="bottomRight" state="frozen"/>
      <selection pane="topRight" activeCell="C1" sqref="C1"/>
      <selection pane="bottomLeft" activeCell="A4" sqref="A4"/>
      <selection pane="bottomRight" sqref="A1:T1"/>
    </sheetView>
  </sheetViews>
  <sheetFormatPr defaultColWidth="8.6640625" defaultRowHeight="14.4" x14ac:dyDescent="0.3"/>
  <cols>
    <col min="1" max="1" width="8" style="15" customWidth="1"/>
    <col min="2" max="2" width="13" style="15" customWidth="1"/>
    <col min="3" max="3" width="12" style="15" customWidth="1"/>
    <col min="4" max="4" width="11" style="15" customWidth="1"/>
    <col min="5" max="5" width="20" style="15" customWidth="1"/>
    <col min="6" max="6" width="28" style="15" customWidth="1"/>
    <col min="7" max="7" width="8" style="15" customWidth="1"/>
    <col min="8" max="8" width="11" style="15" customWidth="1"/>
    <col min="9" max="9" width="13" style="15" customWidth="1"/>
    <col min="10" max="10" width="11" style="15" customWidth="1"/>
    <col min="11" max="11" width="8" style="15" customWidth="1"/>
    <col min="12" max="12" width="10" style="15" customWidth="1"/>
    <col min="13" max="13" width="11" style="15" customWidth="1"/>
    <col min="14" max="14" width="12" style="15" customWidth="1"/>
    <col min="15" max="15" width="10" style="15" customWidth="1"/>
    <col min="16" max="16" width="9" style="15" customWidth="1"/>
    <col min="17" max="18" width="8" style="15" customWidth="1"/>
    <col min="19" max="19" width="9" style="15" customWidth="1"/>
    <col min="20" max="20" width="12" style="15" customWidth="1"/>
  </cols>
  <sheetData>
    <row r="1" spans="1:20" ht="31.5" customHeight="1" x14ac:dyDescent="0.3">
      <c r="A1" s="139" t="s">
        <v>303</v>
      </c>
      <c r="B1" s="139"/>
      <c r="C1" s="139"/>
      <c r="D1" s="139"/>
      <c r="E1" s="139"/>
      <c r="F1" s="139"/>
      <c r="G1" s="139"/>
      <c r="H1" s="139"/>
      <c r="I1" s="139"/>
      <c r="J1" s="139"/>
      <c r="K1" s="139"/>
      <c r="L1" s="139"/>
      <c r="M1" s="139"/>
      <c r="N1" s="139"/>
      <c r="O1" s="139"/>
      <c r="P1" s="139"/>
      <c r="Q1" s="139"/>
      <c r="R1" s="139"/>
      <c r="S1" s="139"/>
      <c r="T1" s="139"/>
    </row>
    <row r="2" spans="1:20" ht="15.75" customHeight="1" x14ac:dyDescent="0.3">
      <c r="A2" s="174" t="s">
        <v>304</v>
      </c>
      <c r="B2" s="174"/>
      <c r="C2" s="174"/>
      <c r="D2" s="174"/>
      <c r="E2" s="174"/>
      <c r="F2" s="174"/>
      <c r="G2" s="174"/>
      <c r="H2" s="174"/>
      <c r="I2" s="174"/>
      <c r="J2" s="174"/>
      <c r="K2" s="174"/>
      <c r="L2" s="174"/>
      <c r="M2" s="174"/>
      <c r="N2" s="174"/>
      <c r="O2" s="174"/>
      <c r="P2" s="174"/>
      <c r="Q2" s="174"/>
      <c r="R2" s="174"/>
      <c r="S2" s="174"/>
      <c r="T2" s="174"/>
    </row>
    <row r="3" spans="1:20" ht="30" customHeight="1" x14ac:dyDescent="0.3">
      <c r="A3" s="27" t="s">
        <v>245</v>
      </c>
      <c r="B3" s="27" t="s">
        <v>305</v>
      </c>
      <c r="C3" s="27" t="s">
        <v>306</v>
      </c>
      <c r="D3" s="27" t="s">
        <v>307</v>
      </c>
      <c r="E3" s="27" t="s">
        <v>224</v>
      </c>
      <c r="F3" s="27" t="s">
        <v>308</v>
      </c>
      <c r="G3" s="27" t="s">
        <v>309</v>
      </c>
      <c r="H3" s="27" t="s">
        <v>310</v>
      </c>
      <c r="I3" s="27" t="s">
        <v>311</v>
      </c>
      <c r="J3" s="27" t="s">
        <v>312</v>
      </c>
      <c r="K3" s="27" t="s">
        <v>313</v>
      </c>
      <c r="L3" s="27" t="s">
        <v>314</v>
      </c>
      <c r="M3" s="27" t="s">
        <v>315</v>
      </c>
      <c r="N3" s="27" t="s">
        <v>316</v>
      </c>
      <c r="O3" s="27" t="s">
        <v>317</v>
      </c>
      <c r="P3" s="27" t="s">
        <v>318</v>
      </c>
      <c r="Q3" s="27" t="s">
        <v>319</v>
      </c>
      <c r="R3" s="27" t="s">
        <v>320</v>
      </c>
      <c r="S3" s="27" t="s">
        <v>321</v>
      </c>
      <c r="T3" s="27" t="s">
        <v>322</v>
      </c>
    </row>
    <row r="4" spans="1:20" ht="18" customHeight="1" x14ac:dyDescent="0.3">
      <c r="A4" s="119" t="s">
        <v>267</v>
      </c>
      <c r="B4" s="216" t="s">
        <v>323</v>
      </c>
      <c r="C4" s="216" t="s">
        <v>324</v>
      </c>
      <c r="D4" s="216" t="s">
        <v>325</v>
      </c>
      <c r="E4" s="216" t="s">
        <v>231</v>
      </c>
      <c r="F4" s="216" t="s">
        <v>326</v>
      </c>
      <c r="G4" s="119" t="s">
        <v>327</v>
      </c>
      <c r="H4" s="120" t="s">
        <v>328</v>
      </c>
      <c r="I4" s="68">
        <v>115000</v>
      </c>
      <c r="J4" s="68"/>
      <c r="K4" s="119" t="s">
        <v>329</v>
      </c>
      <c r="L4" s="119" t="s">
        <v>330</v>
      </c>
      <c r="M4" s="119">
        <v>2</v>
      </c>
      <c r="N4" s="121">
        <v>5.4899999999999997E-2</v>
      </c>
      <c r="O4" s="68">
        <v>850</v>
      </c>
      <c r="P4" s="68">
        <v>45</v>
      </c>
      <c r="Q4" s="68">
        <v>15</v>
      </c>
      <c r="R4" s="122">
        <v>0.06</v>
      </c>
      <c r="S4" s="68" t="s">
        <v>666</v>
      </c>
      <c r="T4" s="119" t="s">
        <v>331</v>
      </c>
    </row>
    <row r="5" spans="1:20" ht="18" customHeight="1" x14ac:dyDescent="0.3">
      <c r="A5" s="123" t="s">
        <v>268</v>
      </c>
      <c r="B5" s="217" t="s">
        <v>332</v>
      </c>
      <c r="C5" s="217" t="s">
        <v>333</v>
      </c>
      <c r="D5" s="217" t="s">
        <v>334</v>
      </c>
      <c r="E5" s="217" t="s">
        <v>231</v>
      </c>
      <c r="F5" s="217" t="s">
        <v>335</v>
      </c>
      <c r="G5" s="123" t="s">
        <v>327</v>
      </c>
      <c r="H5" s="125" t="s">
        <v>336</v>
      </c>
      <c r="I5" s="72">
        <v>78000</v>
      </c>
      <c r="J5" s="72"/>
      <c r="K5" s="123" t="s">
        <v>329</v>
      </c>
      <c r="L5" s="123" t="s">
        <v>337</v>
      </c>
      <c r="M5" s="123">
        <v>1</v>
      </c>
      <c r="N5" s="126">
        <v>5.4899999999999997E-2</v>
      </c>
      <c r="O5" s="72">
        <v>550</v>
      </c>
      <c r="P5" s="72">
        <v>45</v>
      </c>
      <c r="Q5" s="72">
        <v>15</v>
      </c>
      <c r="R5" s="127">
        <v>0.04</v>
      </c>
      <c r="S5" s="72">
        <v>25</v>
      </c>
      <c r="T5" s="123" t="s">
        <v>331</v>
      </c>
    </row>
    <row r="6" spans="1:20" ht="18" customHeight="1" x14ac:dyDescent="0.3">
      <c r="A6" s="119" t="s">
        <v>269</v>
      </c>
      <c r="B6" s="216" t="s">
        <v>338</v>
      </c>
      <c r="C6" s="216" t="s">
        <v>339</v>
      </c>
      <c r="D6" s="216" t="s">
        <v>340</v>
      </c>
      <c r="E6" s="216" t="s">
        <v>232</v>
      </c>
      <c r="F6" s="216" t="s">
        <v>341</v>
      </c>
      <c r="G6" s="119" t="s">
        <v>327</v>
      </c>
      <c r="H6" s="120" t="s">
        <v>342</v>
      </c>
      <c r="I6" s="68">
        <v>125000</v>
      </c>
      <c r="J6" s="68"/>
      <c r="K6" s="119" t="s">
        <v>329</v>
      </c>
      <c r="L6" s="119" t="s">
        <v>330</v>
      </c>
      <c r="M6" s="119">
        <v>3</v>
      </c>
      <c r="N6" s="121">
        <v>5.4899999999999997E-2</v>
      </c>
      <c r="O6" s="68">
        <v>850</v>
      </c>
      <c r="P6" s="68">
        <v>45</v>
      </c>
      <c r="Q6" s="68">
        <v>15</v>
      </c>
      <c r="R6" s="122">
        <v>0.08</v>
      </c>
      <c r="S6" s="68">
        <v>25</v>
      </c>
      <c r="T6" s="119" t="s">
        <v>331</v>
      </c>
    </row>
    <row r="7" spans="1:20" ht="18" customHeight="1" x14ac:dyDescent="0.3">
      <c r="A7" s="123" t="s">
        <v>270</v>
      </c>
      <c r="B7" s="217" t="s">
        <v>343</v>
      </c>
      <c r="C7" s="217" t="s">
        <v>344</v>
      </c>
      <c r="D7" s="217" t="s">
        <v>345</v>
      </c>
      <c r="E7" s="217" t="s">
        <v>232</v>
      </c>
      <c r="F7" s="217" t="s">
        <v>346</v>
      </c>
      <c r="G7" s="123" t="s">
        <v>327</v>
      </c>
      <c r="H7" s="125" t="s">
        <v>347</v>
      </c>
      <c r="I7" s="72">
        <v>72000</v>
      </c>
      <c r="J7" s="72"/>
      <c r="K7" s="123" t="s">
        <v>329</v>
      </c>
      <c r="L7" s="123" t="s">
        <v>337</v>
      </c>
      <c r="M7" s="123">
        <v>1</v>
      </c>
      <c r="N7" s="126">
        <v>5.4899999999999997E-2</v>
      </c>
      <c r="O7" s="72">
        <v>550</v>
      </c>
      <c r="P7" s="72">
        <v>45</v>
      </c>
      <c r="Q7" s="72">
        <v>15</v>
      </c>
      <c r="R7" s="127">
        <v>0.05</v>
      </c>
      <c r="S7" s="72">
        <v>25</v>
      </c>
      <c r="T7" s="123" t="s">
        <v>331</v>
      </c>
    </row>
    <row r="8" spans="1:20" ht="18" customHeight="1" x14ac:dyDescent="0.3">
      <c r="A8" s="119" t="s">
        <v>271</v>
      </c>
      <c r="B8" s="216" t="s">
        <v>348</v>
      </c>
      <c r="C8" s="216" t="s">
        <v>349</v>
      </c>
      <c r="D8" s="216" t="s">
        <v>350</v>
      </c>
      <c r="E8" s="216" t="s">
        <v>232</v>
      </c>
      <c r="F8" s="216" t="s">
        <v>351</v>
      </c>
      <c r="G8" s="119" t="s">
        <v>327</v>
      </c>
      <c r="H8" s="120" t="s">
        <v>352</v>
      </c>
      <c r="I8" s="68">
        <v>55000</v>
      </c>
      <c r="J8" s="68"/>
      <c r="K8" s="119" t="s">
        <v>329</v>
      </c>
      <c r="L8" s="119" t="s">
        <v>337</v>
      </c>
      <c r="M8" s="119">
        <v>0</v>
      </c>
      <c r="N8" s="121">
        <v>5.4899999999999997E-2</v>
      </c>
      <c r="O8" s="68">
        <v>295</v>
      </c>
      <c r="P8" s="68">
        <v>45</v>
      </c>
      <c r="Q8" s="68">
        <v>15</v>
      </c>
      <c r="R8" s="122">
        <v>0.03</v>
      </c>
      <c r="S8" s="68">
        <v>25</v>
      </c>
      <c r="T8" s="119" t="s">
        <v>331</v>
      </c>
    </row>
    <row r="9" spans="1:20" ht="18" customHeight="1" x14ac:dyDescent="0.3">
      <c r="A9" s="123" t="s">
        <v>272</v>
      </c>
      <c r="B9" s="217" t="s">
        <v>353</v>
      </c>
      <c r="C9" s="217" t="s">
        <v>354</v>
      </c>
      <c r="D9" s="217" t="s">
        <v>355</v>
      </c>
      <c r="E9" s="217" t="s">
        <v>233</v>
      </c>
      <c r="F9" s="217" t="s">
        <v>356</v>
      </c>
      <c r="G9" s="123" t="s">
        <v>327</v>
      </c>
      <c r="H9" s="125" t="s">
        <v>357</v>
      </c>
      <c r="I9" s="72">
        <v>95000</v>
      </c>
      <c r="J9" s="72"/>
      <c r="K9" s="123" t="s">
        <v>329</v>
      </c>
      <c r="L9" s="123" t="s">
        <v>330</v>
      </c>
      <c r="M9" s="123">
        <v>2</v>
      </c>
      <c r="N9" s="126">
        <v>5.4899999999999997E-2</v>
      </c>
      <c r="O9" s="72">
        <v>850</v>
      </c>
      <c r="P9" s="72">
        <v>45</v>
      </c>
      <c r="Q9" s="72">
        <v>15</v>
      </c>
      <c r="R9" s="127">
        <v>7.0000000000000007E-2</v>
      </c>
      <c r="S9" s="72">
        <v>25</v>
      </c>
      <c r="T9" s="123" t="s">
        <v>331</v>
      </c>
    </row>
    <row r="10" spans="1:20" ht="18" customHeight="1" x14ac:dyDescent="0.3">
      <c r="A10" s="119" t="s">
        <v>273</v>
      </c>
      <c r="B10" s="216" t="s">
        <v>358</v>
      </c>
      <c r="C10" s="216" t="s">
        <v>359</v>
      </c>
      <c r="D10" s="216" t="s">
        <v>360</v>
      </c>
      <c r="E10" s="216" t="s">
        <v>233</v>
      </c>
      <c r="F10" s="216" t="s">
        <v>361</v>
      </c>
      <c r="G10" s="119" t="s">
        <v>327</v>
      </c>
      <c r="H10" s="120" t="s">
        <v>362</v>
      </c>
      <c r="I10" s="68">
        <v>65000</v>
      </c>
      <c r="J10" s="68"/>
      <c r="K10" s="119" t="s">
        <v>329</v>
      </c>
      <c r="L10" s="119" t="s">
        <v>363</v>
      </c>
      <c r="M10" s="119">
        <v>3</v>
      </c>
      <c r="N10" s="121">
        <v>5.4899999999999997E-2</v>
      </c>
      <c r="O10" s="68">
        <v>620</v>
      </c>
      <c r="P10" s="68">
        <v>45</v>
      </c>
      <c r="Q10" s="68">
        <v>15</v>
      </c>
      <c r="R10" s="122">
        <v>0.05</v>
      </c>
      <c r="S10" s="68">
        <v>25</v>
      </c>
      <c r="T10" s="119" t="s">
        <v>331</v>
      </c>
    </row>
    <row r="11" spans="1:20" ht="18" customHeight="1" x14ac:dyDescent="0.3">
      <c r="A11" s="123" t="s">
        <v>274</v>
      </c>
      <c r="B11" s="217" t="s">
        <v>364</v>
      </c>
      <c r="C11" s="217" t="s">
        <v>365</v>
      </c>
      <c r="D11" s="217" t="s">
        <v>366</v>
      </c>
      <c r="E11" s="217" t="s">
        <v>233</v>
      </c>
      <c r="F11" s="217" t="s">
        <v>367</v>
      </c>
      <c r="G11" s="123" t="s">
        <v>327</v>
      </c>
      <c r="H11" s="125" t="s">
        <v>368</v>
      </c>
      <c r="I11" s="72">
        <v>52000</v>
      </c>
      <c r="J11" s="72"/>
      <c r="K11" s="123" t="s">
        <v>329</v>
      </c>
      <c r="L11" s="123" t="s">
        <v>337</v>
      </c>
      <c r="M11" s="123">
        <v>1</v>
      </c>
      <c r="N11" s="126">
        <v>5.4899999999999997E-2</v>
      </c>
      <c r="O11" s="72">
        <v>295</v>
      </c>
      <c r="P11" s="72">
        <v>45</v>
      </c>
      <c r="Q11" s="72">
        <v>0</v>
      </c>
      <c r="R11" s="127">
        <v>0.03</v>
      </c>
      <c r="S11" s="72">
        <v>25</v>
      </c>
      <c r="T11" s="123" t="s">
        <v>331</v>
      </c>
    </row>
    <row r="12" spans="1:20" ht="18" customHeight="1" x14ac:dyDescent="0.3">
      <c r="A12" s="119" t="s">
        <v>275</v>
      </c>
      <c r="B12" s="216" t="s">
        <v>369</v>
      </c>
      <c r="C12" s="216" t="s">
        <v>370</v>
      </c>
      <c r="D12" s="216" t="s">
        <v>371</v>
      </c>
      <c r="E12" s="216" t="s">
        <v>233</v>
      </c>
      <c r="F12" s="216" t="s">
        <v>372</v>
      </c>
      <c r="G12" s="119" t="s">
        <v>373</v>
      </c>
      <c r="H12" s="120" t="s">
        <v>374</v>
      </c>
      <c r="I12" s="68"/>
      <c r="J12" s="68">
        <v>24.5</v>
      </c>
      <c r="K12" s="119" t="s">
        <v>329</v>
      </c>
      <c r="L12" s="119" t="s">
        <v>337</v>
      </c>
      <c r="M12" s="119">
        <v>1</v>
      </c>
      <c r="N12" s="121">
        <v>5.4899999999999997E-2</v>
      </c>
      <c r="O12" s="68">
        <v>295</v>
      </c>
      <c r="P12" s="68">
        <v>45</v>
      </c>
      <c r="Q12" s="68">
        <v>15</v>
      </c>
      <c r="R12" s="122">
        <v>0.03</v>
      </c>
      <c r="S12" s="68">
        <v>25</v>
      </c>
      <c r="T12" s="119" t="s">
        <v>331</v>
      </c>
    </row>
    <row r="13" spans="1:20" ht="18" customHeight="1" x14ac:dyDescent="0.3">
      <c r="A13" s="123" t="s">
        <v>276</v>
      </c>
      <c r="B13" s="217" t="s">
        <v>375</v>
      </c>
      <c r="C13" s="217" t="s">
        <v>376</v>
      </c>
      <c r="D13" s="217" t="s">
        <v>377</v>
      </c>
      <c r="E13" s="217" t="s">
        <v>233</v>
      </c>
      <c r="F13" s="217" t="s">
        <v>378</v>
      </c>
      <c r="G13" s="123" t="s">
        <v>373</v>
      </c>
      <c r="H13" s="125" t="s">
        <v>379</v>
      </c>
      <c r="I13" s="72"/>
      <c r="J13" s="72">
        <v>19.75</v>
      </c>
      <c r="K13" s="123" t="s">
        <v>329</v>
      </c>
      <c r="L13" s="123" t="s">
        <v>337</v>
      </c>
      <c r="M13" s="123">
        <v>0</v>
      </c>
      <c r="N13" s="126">
        <v>5.4899999999999997E-2</v>
      </c>
      <c r="O13" s="72">
        <v>295</v>
      </c>
      <c r="P13" s="72">
        <v>45</v>
      </c>
      <c r="Q13" s="72">
        <v>0</v>
      </c>
      <c r="R13" s="127">
        <v>0</v>
      </c>
      <c r="S13" s="72">
        <v>25</v>
      </c>
      <c r="T13" s="123" t="s">
        <v>331</v>
      </c>
    </row>
    <row r="14" spans="1:20" ht="18" customHeight="1" x14ac:dyDescent="0.3">
      <c r="A14" s="119" t="s">
        <v>277</v>
      </c>
      <c r="B14" s="216" t="s">
        <v>380</v>
      </c>
      <c r="C14" s="216" t="s">
        <v>381</v>
      </c>
      <c r="D14" s="216" t="s">
        <v>382</v>
      </c>
      <c r="E14" s="216" t="s">
        <v>234</v>
      </c>
      <c r="F14" s="216" t="s">
        <v>383</v>
      </c>
      <c r="G14" s="119" t="s">
        <v>327</v>
      </c>
      <c r="H14" s="120" t="s">
        <v>384</v>
      </c>
      <c r="I14" s="68">
        <v>105000</v>
      </c>
      <c r="J14" s="68"/>
      <c r="K14" s="119" t="s">
        <v>329</v>
      </c>
      <c r="L14" s="119" t="s">
        <v>330</v>
      </c>
      <c r="M14" s="119">
        <v>2</v>
      </c>
      <c r="N14" s="121">
        <v>5.4899999999999997E-2</v>
      </c>
      <c r="O14" s="68">
        <v>850</v>
      </c>
      <c r="P14" s="68">
        <v>45</v>
      </c>
      <c r="Q14" s="68">
        <v>15</v>
      </c>
      <c r="R14" s="122">
        <v>0.08</v>
      </c>
      <c r="S14" s="68">
        <v>25</v>
      </c>
      <c r="T14" s="119" t="s">
        <v>331</v>
      </c>
    </row>
    <row r="15" spans="1:20" ht="18" customHeight="1" x14ac:dyDescent="0.3">
      <c r="A15" s="123" t="s">
        <v>278</v>
      </c>
      <c r="B15" s="217" t="s">
        <v>323</v>
      </c>
      <c r="C15" s="217" t="s">
        <v>385</v>
      </c>
      <c r="D15" s="217" t="s">
        <v>386</v>
      </c>
      <c r="E15" s="217" t="s">
        <v>234</v>
      </c>
      <c r="F15" s="217" t="s">
        <v>387</v>
      </c>
      <c r="G15" s="123" t="s">
        <v>327</v>
      </c>
      <c r="H15" s="125" t="s">
        <v>388</v>
      </c>
      <c r="I15" s="72">
        <v>82000</v>
      </c>
      <c r="J15" s="72"/>
      <c r="K15" s="123" t="s">
        <v>329</v>
      </c>
      <c r="L15" s="123" t="s">
        <v>330</v>
      </c>
      <c r="M15" s="123">
        <v>2</v>
      </c>
      <c r="N15" s="126">
        <v>5.4899999999999997E-2</v>
      </c>
      <c r="O15" s="72">
        <v>850</v>
      </c>
      <c r="P15" s="72">
        <v>45</v>
      </c>
      <c r="Q15" s="72">
        <v>15</v>
      </c>
      <c r="R15" s="127">
        <v>0.06</v>
      </c>
      <c r="S15" s="72">
        <v>25</v>
      </c>
      <c r="T15" s="123" t="s">
        <v>331</v>
      </c>
    </row>
    <row r="16" spans="1:20" ht="18" customHeight="1" x14ac:dyDescent="0.3">
      <c r="A16" s="119" t="s">
        <v>279</v>
      </c>
      <c r="B16" s="216" t="s">
        <v>389</v>
      </c>
      <c r="C16" s="216" t="s">
        <v>390</v>
      </c>
      <c r="D16" s="216" t="s">
        <v>391</v>
      </c>
      <c r="E16" s="216" t="s">
        <v>234</v>
      </c>
      <c r="F16" s="216" t="s">
        <v>392</v>
      </c>
      <c r="G16" s="119" t="s">
        <v>327</v>
      </c>
      <c r="H16" s="120" t="s">
        <v>393</v>
      </c>
      <c r="I16" s="68">
        <v>88000</v>
      </c>
      <c r="J16" s="68"/>
      <c r="K16" s="119" t="s">
        <v>329</v>
      </c>
      <c r="L16" s="119" t="s">
        <v>337</v>
      </c>
      <c r="M16" s="119">
        <v>1</v>
      </c>
      <c r="N16" s="121">
        <v>5.4899999999999997E-2</v>
      </c>
      <c r="O16" s="68">
        <v>550</v>
      </c>
      <c r="P16" s="68">
        <v>45</v>
      </c>
      <c r="Q16" s="68">
        <v>15</v>
      </c>
      <c r="R16" s="122">
        <v>0.06</v>
      </c>
      <c r="S16" s="68">
        <v>25</v>
      </c>
      <c r="T16" s="119" t="s">
        <v>331</v>
      </c>
    </row>
    <row r="17" spans="1:20" ht="18" customHeight="1" x14ac:dyDescent="0.3">
      <c r="A17" s="123" t="s">
        <v>280</v>
      </c>
      <c r="B17" s="217" t="s">
        <v>394</v>
      </c>
      <c r="C17" s="217" t="s">
        <v>395</v>
      </c>
      <c r="D17" s="217" t="s">
        <v>396</v>
      </c>
      <c r="E17" s="217" t="s">
        <v>234</v>
      </c>
      <c r="F17" s="217" t="s">
        <v>397</v>
      </c>
      <c r="G17" s="123" t="s">
        <v>373</v>
      </c>
      <c r="H17" s="125" t="s">
        <v>398</v>
      </c>
      <c r="I17" s="72"/>
      <c r="J17" s="72">
        <v>21</v>
      </c>
      <c r="K17" s="123" t="s">
        <v>329</v>
      </c>
      <c r="L17" s="123" t="s">
        <v>337</v>
      </c>
      <c r="M17" s="123">
        <v>1</v>
      </c>
      <c r="N17" s="126">
        <v>5.4899999999999997E-2</v>
      </c>
      <c r="O17" s="72">
        <v>295</v>
      </c>
      <c r="P17" s="72">
        <v>45</v>
      </c>
      <c r="Q17" s="72">
        <v>0</v>
      </c>
      <c r="R17" s="127">
        <v>0.02</v>
      </c>
      <c r="S17" s="72">
        <v>25</v>
      </c>
      <c r="T17" s="123" t="s">
        <v>331</v>
      </c>
    </row>
    <row r="18" spans="1:20" ht="18" customHeight="1" x14ac:dyDescent="0.3">
      <c r="A18" s="119" t="s">
        <v>281</v>
      </c>
      <c r="B18" s="216" t="s">
        <v>399</v>
      </c>
      <c r="C18" s="216" t="s">
        <v>400</v>
      </c>
      <c r="D18" s="216" t="s">
        <v>401</v>
      </c>
      <c r="E18" s="216" t="s">
        <v>235</v>
      </c>
      <c r="F18" s="216" t="s">
        <v>402</v>
      </c>
      <c r="G18" s="119" t="s">
        <v>327</v>
      </c>
      <c r="H18" s="120" t="s">
        <v>403</v>
      </c>
      <c r="I18" s="68">
        <v>138000</v>
      </c>
      <c r="J18" s="68"/>
      <c r="K18" s="119" t="s">
        <v>329</v>
      </c>
      <c r="L18" s="119" t="s">
        <v>330</v>
      </c>
      <c r="M18" s="119">
        <v>4</v>
      </c>
      <c r="N18" s="121">
        <v>5.4899999999999997E-2</v>
      </c>
      <c r="O18" s="68">
        <v>850</v>
      </c>
      <c r="P18" s="68">
        <v>45</v>
      </c>
      <c r="Q18" s="68">
        <v>15</v>
      </c>
      <c r="R18" s="122">
        <v>0.1</v>
      </c>
      <c r="S18" s="68">
        <v>25</v>
      </c>
      <c r="T18" s="119" t="s">
        <v>331</v>
      </c>
    </row>
    <row r="19" spans="1:20" ht="18" customHeight="1" x14ac:dyDescent="0.3">
      <c r="A19" s="123" t="s">
        <v>282</v>
      </c>
      <c r="B19" s="217" t="s">
        <v>404</v>
      </c>
      <c r="C19" s="217" t="s">
        <v>405</v>
      </c>
      <c r="D19" s="217" t="s">
        <v>406</v>
      </c>
      <c r="E19" s="217" t="s">
        <v>235</v>
      </c>
      <c r="F19" s="217" t="s">
        <v>407</v>
      </c>
      <c r="G19" s="123" t="s">
        <v>327</v>
      </c>
      <c r="H19" s="125" t="s">
        <v>408</v>
      </c>
      <c r="I19" s="72">
        <v>74000</v>
      </c>
      <c r="J19" s="72"/>
      <c r="K19" s="123" t="s">
        <v>329</v>
      </c>
      <c r="L19" s="123" t="s">
        <v>330</v>
      </c>
      <c r="M19" s="123">
        <v>2</v>
      </c>
      <c r="N19" s="126">
        <v>5.4899999999999997E-2</v>
      </c>
      <c r="O19" s="72">
        <v>850</v>
      </c>
      <c r="P19" s="72">
        <v>45</v>
      </c>
      <c r="Q19" s="72">
        <v>15</v>
      </c>
      <c r="R19" s="127">
        <v>0.05</v>
      </c>
      <c r="S19" s="72">
        <v>25</v>
      </c>
      <c r="T19" s="123" t="s">
        <v>331</v>
      </c>
    </row>
    <row r="20" spans="1:20" ht="18" customHeight="1" x14ac:dyDescent="0.3">
      <c r="A20" s="119" t="s">
        <v>283</v>
      </c>
      <c r="B20" s="216" t="s">
        <v>409</v>
      </c>
      <c r="C20" s="216" t="s">
        <v>410</v>
      </c>
      <c r="D20" s="216" t="s">
        <v>411</v>
      </c>
      <c r="E20" s="216" t="s">
        <v>235</v>
      </c>
      <c r="F20" s="216" t="s">
        <v>412</v>
      </c>
      <c r="G20" s="119" t="s">
        <v>327</v>
      </c>
      <c r="H20" s="120" t="s">
        <v>413</v>
      </c>
      <c r="I20" s="68">
        <v>62000</v>
      </c>
      <c r="J20" s="68"/>
      <c r="K20" s="119" t="s">
        <v>329</v>
      </c>
      <c r="L20" s="119" t="s">
        <v>337</v>
      </c>
      <c r="M20" s="119">
        <v>1</v>
      </c>
      <c r="N20" s="121">
        <v>5.4899999999999997E-2</v>
      </c>
      <c r="O20" s="68">
        <v>295</v>
      </c>
      <c r="P20" s="68">
        <v>45</v>
      </c>
      <c r="Q20" s="68">
        <v>15</v>
      </c>
      <c r="R20" s="122">
        <v>0.04</v>
      </c>
      <c r="S20" s="68">
        <v>25</v>
      </c>
      <c r="T20" s="119" t="s">
        <v>331</v>
      </c>
    </row>
    <row r="21" spans="1:20" ht="18" customHeight="1" x14ac:dyDescent="0.3">
      <c r="A21" s="123" t="s">
        <v>284</v>
      </c>
      <c r="B21" s="217" t="s">
        <v>414</v>
      </c>
      <c r="C21" s="217" t="s">
        <v>415</v>
      </c>
      <c r="D21" s="217" t="s">
        <v>416</v>
      </c>
      <c r="E21" s="217" t="s">
        <v>235</v>
      </c>
      <c r="F21" s="217" t="s">
        <v>417</v>
      </c>
      <c r="G21" s="123" t="s">
        <v>373</v>
      </c>
      <c r="H21" s="125" t="s">
        <v>418</v>
      </c>
      <c r="I21" s="72"/>
      <c r="J21" s="72">
        <v>18.5</v>
      </c>
      <c r="K21" s="123" t="s">
        <v>329</v>
      </c>
      <c r="L21" s="123" t="s">
        <v>337</v>
      </c>
      <c r="M21" s="123">
        <v>0</v>
      </c>
      <c r="N21" s="126">
        <v>5.4899999999999997E-2</v>
      </c>
      <c r="O21" s="72">
        <v>295</v>
      </c>
      <c r="P21" s="72">
        <v>45</v>
      </c>
      <c r="Q21" s="72">
        <v>0</v>
      </c>
      <c r="R21" s="127">
        <v>0</v>
      </c>
      <c r="S21" s="72">
        <v>25</v>
      </c>
      <c r="T21" s="123" t="s">
        <v>331</v>
      </c>
    </row>
    <row r="22" spans="1:20" ht="18" customHeight="1" x14ac:dyDescent="0.3">
      <c r="A22" s="119" t="s">
        <v>285</v>
      </c>
      <c r="B22" s="216" t="s">
        <v>358</v>
      </c>
      <c r="C22" s="216" t="s">
        <v>419</v>
      </c>
      <c r="D22" s="216" t="s">
        <v>420</v>
      </c>
      <c r="E22" s="216" t="s">
        <v>236</v>
      </c>
      <c r="F22" s="216" t="s">
        <v>421</v>
      </c>
      <c r="G22" s="119" t="s">
        <v>327</v>
      </c>
      <c r="H22" s="120" t="s">
        <v>422</v>
      </c>
      <c r="I22" s="68">
        <v>108000</v>
      </c>
      <c r="J22" s="68"/>
      <c r="K22" s="119" t="s">
        <v>329</v>
      </c>
      <c r="L22" s="119" t="s">
        <v>330</v>
      </c>
      <c r="M22" s="119">
        <v>2</v>
      </c>
      <c r="N22" s="121">
        <v>5.4899999999999997E-2</v>
      </c>
      <c r="O22" s="68">
        <v>850</v>
      </c>
      <c r="P22" s="68">
        <v>45</v>
      </c>
      <c r="Q22" s="68">
        <v>15</v>
      </c>
      <c r="R22" s="122">
        <v>0.08</v>
      </c>
      <c r="S22" s="68">
        <v>25</v>
      </c>
      <c r="T22" s="119" t="s">
        <v>331</v>
      </c>
    </row>
    <row r="23" spans="1:20" ht="18" customHeight="1" x14ac:dyDescent="0.3">
      <c r="A23" s="123" t="s">
        <v>286</v>
      </c>
      <c r="B23" s="217" t="s">
        <v>353</v>
      </c>
      <c r="C23" s="217" t="s">
        <v>423</v>
      </c>
      <c r="D23" s="217" t="s">
        <v>424</v>
      </c>
      <c r="E23" s="217" t="s">
        <v>236</v>
      </c>
      <c r="F23" s="217" t="s">
        <v>425</v>
      </c>
      <c r="G23" s="123" t="s">
        <v>327</v>
      </c>
      <c r="H23" s="125" t="s">
        <v>426</v>
      </c>
      <c r="I23" s="72">
        <v>58000</v>
      </c>
      <c r="J23" s="72"/>
      <c r="K23" s="123" t="s">
        <v>329</v>
      </c>
      <c r="L23" s="123" t="s">
        <v>337</v>
      </c>
      <c r="M23" s="123">
        <v>1</v>
      </c>
      <c r="N23" s="126">
        <v>5.4899999999999997E-2</v>
      </c>
      <c r="O23" s="72">
        <v>295</v>
      </c>
      <c r="P23" s="72">
        <v>45</v>
      </c>
      <c r="Q23" s="72">
        <v>15</v>
      </c>
      <c r="R23" s="127">
        <v>0.04</v>
      </c>
      <c r="S23" s="72">
        <v>25</v>
      </c>
      <c r="T23" s="123" t="s">
        <v>331</v>
      </c>
    </row>
    <row r="25" spans="1:20" ht="18" customHeight="1" x14ac:dyDescent="0.3">
      <c r="A25" s="188" t="s">
        <v>239</v>
      </c>
      <c r="B25" s="188"/>
      <c r="C25" s="188"/>
      <c r="D25" s="188"/>
      <c r="E25" s="188"/>
      <c r="F25" s="188"/>
      <c r="G25" s="188"/>
      <c r="H25" s="188"/>
      <c r="I25" s="188"/>
      <c r="J25" s="188"/>
      <c r="K25" s="188"/>
      <c r="L25" s="188"/>
      <c r="M25" s="188"/>
      <c r="N25" s="188"/>
      <c r="O25" s="188"/>
      <c r="P25" s="188"/>
      <c r="Q25" s="188"/>
      <c r="R25" s="188"/>
      <c r="S25" s="188"/>
      <c r="T25" s="188"/>
    </row>
    <row r="26" spans="1:20" ht="13.5" customHeight="1" x14ac:dyDescent="0.3">
      <c r="A26" s="165" t="s">
        <v>240</v>
      </c>
      <c r="B26" s="165"/>
      <c r="C26" s="165"/>
      <c r="D26" s="165"/>
      <c r="E26" s="165"/>
      <c r="F26" s="165"/>
      <c r="G26" s="165"/>
      <c r="H26" s="165"/>
      <c r="I26" s="165"/>
      <c r="J26" s="165"/>
      <c r="K26" s="165"/>
      <c r="L26" s="165"/>
      <c r="M26" s="165"/>
      <c r="N26" s="165"/>
      <c r="O26" s="165"/>
      <c r="P26" s="165"/>
      <c r="Q26" s="165"/>
      <c r="R26" s="165"/>
      <c r="S26" s="165"/>
      <c r="T26" s="165"/>
    </row>
  </sheetData>
  <sheetProtection algorithmName="SHA-512" hashValue="VL9luCB2xh5aRe47+PsXVL8QlZ+azhImWeRwIndxnFWdVRNuiMUo7019Qnq/IRZG07fbQEIosDsDwzSp4Wxx0A==" saltValue="lS/tTymbRWvxkFviBmOnYw==" spinCount="100000" sheet="1" objects="1" scenarios="1"/>
  <mergeCells count="4">
    <mergeCell ref="A1:T1"/>
    <mergeCell ref="A2:T2"/>
    <mergeCell ref="A25:T25"/>
    <mergeCell ref="A26:T26"/>
  </mergeCells>
  <conditionalFormatting sqref="K4:K23">
    <cfRule type="cellIs" dxfId="0" priority="2" operator="equal">
      <formula>"Active"</formula>
    </cfRule>
  </conditionalFormatting>
  <pageMargins left="0.75" right="0.75" top="1" bottom="1" header="0.511811023622047" footer="0.511811023622047"/>
  <pageSetup paperSize="9" orientation="portrait" horizontalDpi="300" verticalDpi="300"/>
  <ignoredErrors>
    <ignoredError sqref="D4:D2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sheetPr>
  <dimension ref="A1:Y27"/>
  <sheetViews>
    <sheetView showGridLines="0" zoomScaleNormal="100" workbookViewId="0">
      <pane xSplit="3" ySplit="3" topLeftCell="D4" activePane="bottomRight" state="frozen"/>
      <selection pane="topRight" activeCell="D1" sqref="D1"/>
      <selection pane="bottomLeft" activeCell="A4" sqref="A4"/>
      <selection pane="bottomRight" sqref="A1:Y1"/>
    </sheetView>
  </sheetViews>
  <sheetFormatPr defaultColWidth="8.6640625" defaultRowHeight="14.4" x14ac:dyDescent="0.3"/>
  <cols>
    <col min="1" max="1" width="8" style="15" customWidth="1"/>
    <col min="2" max="2" width="13" style="15" customWidth="1"/>
    <col min="3" max="3" width="12" style="15" customWidth="1"/>
    <col min="4" max="4" width="22" style="15" customWidth="1"/>
    <col min="5" max="7" width="8" style="15" customWidth="1"/>
    <col min="8" max="8" width="10" style="15" customWidth="1"/>
    <col min="9" max="9" width="12" style="15" customWidth="1"/>
    <col min="10" max="12" width="11" style="15" customWidth="1"/>
    <col min="13" max="13" width="13" style="15" customWidth="1"/>
    <col min="14" max="14" width="12" style="15" customWidth="1"/>
    <col min="15" max="15" width="14" style="15" customWidth="1"/>
    <col min="16" max="16" width="15" style="15" customWidth="1"/>
    <col min="17" max="17" width="14" style="15" customWidth="1"/>
    <col min="18" max="18" width="13" style="15" customWidth="1"/>
    <col min="19" max="19" width="10" style="15" customWidth="1"/>
    <col min="20" max="20" width="9" style="15" customWidth="1"/>
    <col min="21" max="21" width="8" style="15" customWidth="1"/>
    <col min="22" max="23" width="9" style="15" customWidth="1"/>
    <col min="24" max="24" width="15" style="15" customWidth="1"/>
    <col min="25" max="25" width="12" style="15" customWidth="1"/>
  </cols>
  <sheetData>
    <row r="1" spans="1:25" ht="31.5" customHeight="1" x14ac:dyDescent="0.3">
      <c r="A1" s="139" t="s">
        <v>427</v>
      </c>
      <c r="B1" s="139"/>
      <c r="C1" s="139"/>
      <c r="D1" s="139"/>
      <c r="E1" s="139"/>
      <c r="F1" s="139"/>
      <c r="G1" s="139"/>
      <c r="H1" s="139"/>
      <c r="I1" s="139"/>
      <c r="J1" s="139"/>
      <c r="K1" s="139"/>
      <c r="L1" s="139"/>
      <c r="M1" s="139"/>
      <c r="N1" s="139"/>
      <c r="O1" s="139"/>
      <c r="P1" s="139"/>
      <c r="Q1" s="139"/>
      <c r="R1" s="139"/>
      <c r="S1" s="139"/>
      <c r="T1" s="139"/>
      <c r="U1" s="139"/>
      <c r="V1" s="139"/>
      <c r="W1" s="139"/>
      <c r="X1" s="139"/>
      <c r="Y1" s="139"/>
    </row>
    <row r="2" spans="1:25" ht="15.75" customHeight="1" x14ac:dyDescent="0.3">
      <c r="A2" s="174" t="s">
        <v>428</v>
      </c>
      <c r="B2" s="174"/>
      <c r="C2" s="174"/>
      <c r="D2" s="174"/>
      <c r="E2" s="174"/>
      <c r="F2" s="174"/>
      <c r="G2" s="174"/>
      <c r="H2" s="174"/>
      <c r="I2" s="174"/>
      <c r="J2" s="174"/>
      <c r="K2" s="174"/>
      <c r="L2" s="174"/>
      <c r="M2" s="174"/>
      <c r="N2" s="174"/>
      <c r="O2" s="174"/>
      <c r="P2" s="174"/>
      <c r="Q2" s="174"/>
      <c r="R2" s="174"/>
      <c r="S2" s="174"/>
      <c r="T2" s="174"/>
      <c r="U2" s="174"/>
      <c r="V2" s="174"/>
      <c r="W2" s="174"/>
      <c r="X2" s="174"/>
      <c r="Y2" s="174"/>
    </row>
    <row r="3" spans="1:25" ht="42" customHeight="1" x14ac:dyDescent="0.3">
      <c r="A3" s="27" t="s">
        <v>245</v>
      </c>
      <c r="B3" s="27" t="s">
        <v>305</v>
      </c>
      <c r="C3" s="27" t="s">
        <v>306</v>
      </c>
      <c r="D3" s="27" t="s">
        <v>224</v>
      </c>
      <c r="E3" s="27" t="s">
        <v>309</v>
      </c>
      <c r="F3" s="27" t="s">
        <v>429</v>
      </c>
      <c r="G3" s="27" t="s">
        <v>430</v>
      </c>
      <c r="H3" s="27" t="s">
        <v>431</v>
      </c>
      <c r="I3" s="27" t="s">
        <v>432</v>
      </c>
      <c r="J3" s="27" t="s">
        <v>433</v>
      </c>
      <c r="K3" s="27" t="s">
        <v>434</v>
      </c>
      <c r="L3" s="27" t="s">
        <v>435</v>
      </c>
      <c r="M3" s="27" t="s">
        <v>436</v>
      </c>
      <c r="N3" s="27" t="s">
        <v>437</v>
      </c>
      <c r="O3" s="27" t="s">
        <v>438</v>
      </c>
      <c r="P3" s="27" t="s">
        <v>439</v>
      </c>
      <c r="Q3" s="27" t="s">
        <v>440</v>
      </c>
      <c r="R3" s="27" t="s">
        <v>441</v>
      </c>
      <c r="S3" s="27" t="s">
        <v>442</v>
      </c>
      <c r="T3" s="27" t="s">
        <v>443</v>
      </c>
      <c r="U3" s="27" t="s">
        <v>444</v>
      </c>
      <c r="V3" s="27" t="s">
        <v>445</v>
      </c>
      <c r="W3" s="27" t="s">
        <v>446</v>
      </c>
      <c r="X3" s="27" t="s">
        <v>447</v>
      </c>
      <c r="Y3" s="27" t="s">
        <v>448</v>
      </c>
    </row>
    <row r="4" spans="1:25" ht="18" customHeight="1" x14ac:dyDescent="0.3">
      <c r="A4" s="99" t="s">
        <v>267</v>
      </c>
      <c r="B4" s="128" t="str">
        <f>INDEX('Employee Master'!B$4:B$23,MATCH(A4,'Employee Master'!A$4:A$23,0))</f>
        <v>Anderson</v>
      </c>
      <c r="C4" s="128" t="str">
        <f>INDEX('Employee Master'!C$4:C$23,MATCH(A4,'Employee Master'!A$4:A$23,0))</f>
        <v>Michael</v>
      </c>
      <c r="D4" s="128" t="str">
        <f>INDEX('Employee Master'!E$4:E$23,MATCH(A4,'Employee Master'!A$4:A$23,0))</f>
        <v>Human Resources</v>
      </c>
      <c r="E4" s="99" t="str">
        <f>INDEX('Employee Master'!G$4:G$23,MATCH(A4,'Employee Master'!A$4:A$23,0))</f>
        <v>Salary</v>
      </c>
      <c r="F4" s="129">
        <v>80</v>
      </c>
      <c r="G4" s="129">
        <v>0</v>
      </c>
      <c r="H4" s="129">
        <v>0</v>
      </c>
      <c r="I4" s="130">
        <f>IF(E4="Salary",INDEX('Employee Master'!I$4:I$23,MATCH(A4,'Employee Master'!A$4:A$23,0))/26,INDEX('Employee Master'!J$4:J$23,MATCH(A4,'Employee Master'!A$4:A$23,0))*F4)</f>
        <v>4423.0769230769229</v>
      </c>
      <c r="J4" s="130">
        <f>IF(E4="Hourly",INDEX('Employee Master'!J$4:J$23,MATCH(A4,'Employee Master'!A$4:A$23,0))*G4*0.5,0)</f>
        <v>0</v>
      </c>
      <c r="K4" s="130">
        <f>IF(E4="Hourly",INDEX('Employee Master'!J$4:J$23,MATCH(A4,'Employee Master'!A$4:A$23,0))*H4,0)</f>
        <v>0</v>
      </c>
      <c r="L4" s="130">
        <v>0</v>
      </c>
      <c r="M4" s="130">
        <f t="shared" ref="M4:M23" si="0">SUM(I4:L4)</f>
        <v>4423.0769230769229</v>
      </c>
      <c r="N4" s="130">
        <f>IFERROR(IF(INDEX('Employee Master'!L$4:L$23,MATCH(A4,'Employee Master'!A$4:A$23,0))="MFJ",IF((M4*26)&lt;=14600,(M4*26)*0.1,IF((M4*26)&lt;=57750,1460+((M4*26)-14600)*0.12,IF((M4*26)&lt;=113600,6628+((M4*26)-57750)*0.22,IF((M4*26)&lt;=225600,18914+((M4*26)-113600)*0.24,IF((M4*26)&lt;=537550,45794+((M4*26)-225600)*0.32,IF((M4*26)&lt;=643450,145538+((M4*26)-537550)*0.35,182648+((M4*26)-643450)*0.37))))))/26,IF((M4*26)&lt;=7300,(M4*26)*0.1,IF((M4*26)&lt;=28875,730+((M4*26)-7300)*0.12,IF((M4*26)&lt;=56875,3319+((M4*26)-28875)*0.22,IF((M4*26)&lt;=112875,9479+((M4*26)-56875)*0.24,IF((M4*26)&lt;=268850,23009+((M4*26)-112875)*0.32,IF((M4*26)&lt;=321800,72937+((M4*26)-268850)*0.35,91487+((M4*26)-321800)*0.37))))))/26),0)</f>
        <v>740.38461538461536</v>
      </c>
      <c r="O4" s="130">
        <f t="shared" ref="O4:O23" si="1">ROUND(M4*0.062,2)</f>
        <v>274.23</v>
      </c>
      <c r="P4" s="130">
        <f t="shared" ref="P4:P23" si="2">ROUND(M4*0.0145,2)</f>
        <v>64.13</v>
      </c>
      <c r="Q4" s="130">
        <f>ROUND(M4*INDEX('Employee Master'!N$4:N$23,MATCH(A4,'Employee Master'!A$4:A$23,0)),2)</f>
        <v>242.83</v>
      </c>
      <c r="R4" s="130">
        <f t="shared" ref="R4:R23" si="3">SUM(N4:Q4)</f>
        <v>1321.5746153846153</v>
      </c>
      <c r="S4" s="130">
        <f>IFERROR(INDEX('Employee Master'!O$4:O$23,MATCH(A4,'Employee Master'!A$4:A$23,0))/26,0)</f>
        <v>32.692307692307693</v>
      </c>
      <c r="T4" s="130">
        <f>IFERROR(INDEX('Employee Master'!P$4:P$23,MATCH(A4,'Employee Master'!A$4:A$23,0))/26,0)</f>
        <v>1.7307692307692308</v>
      </c>
      <c r="U4" s="130">
        <f>IFERROR(INDEX('Employee Master'!Q$4:Q$23,MATCH(A4,'Employee Master'!A$4:A$23,0))/26,0)</f>
        <v>0.57692307692307687</v>
      </c>
      <c r="V4" s="130">
        <f>ROUND(M4*IFERROR(INDEX('Employee Master'!R$4:R$23,MATCH(A4,'Employee Master'!A$4:A$23,0)),0),2)</f>
        <v>265.38</v>
      </c>
      <c r="W4" s="130">
        <f>IFERROR(INDEX('Employee Master'!S$4:S$23,MATCH(A4,'Employee Master'!A$4:A$23,0))/26,0)</f>
        <v>0</v>
      </c>
      <c r="X4" s="130">
        <f t="shared" ref="X4:X23" si="4">SUM(S4:W4)</f>
        <v>300.38</v>
      </c>
      <c r="Y4" s="130">
        <f t="shared" ref="Y4:Y23" si="5">M4-R4-X4</f>
        <v>2801.1223076923075</v>
      </c>
    </row>
    <row r="5" spans="1:25" ht="18" customHeight="1" x14ac:dyDescent="0.3">
      <c r="A5" s="91" t="s">
        <v>268</v>
      </c>
      <c r="B5" s="131" t="str">
        <f>INDEX('Employee Master'!B$4:B$23,MATCH(A5,'Employee Master'!A$4:A$23,0))</f>
        <v>Johnson</v>
      </c>
      <c r="C5" s="131" t="str">
        <f>INDEX('Employee Master'!C$4:C$23,MATCH(A5,'Employee Master'!A$4:A$23,0))</f>
        <v>Sarah</v>
      </c>
      <c r="D5" s="131" t="str">
        <f>INDEX('Employee Master'!E$4:E$23,MATCH(A5,'Employee Master'!A$4:A$23,0))</f>
        <v>Human Resources</v>
      </c>
      <c r="E5" s="91" t="str">
        <f>INDEX('Employee Master'!G$4:G$23,MATCH(A5,'Employee Master'!A$4:A$23,0))</f>
        <v>Salary</v>
      </c>
      <c r="F5" s="132">
        <v>80</v>
      </c>
      <c r="G5" s="132">
        <v>0</v>
      </c>
      <c r="H5" s="132">
        <v>0</v>
      </c>
      <c r="I5" s="133">
        <f>IF(E5="Salary",INDEX('Employee Master'!I$4:I$23,MATCH(A5,'Employee Master'!A$4:A$23,0))/26,INDEX('Employee Master'!J$4:J$23,MATCH(A5,'Employee Master'!A$4:A$23,0))*F5)</f>
        <v>3000</v>
      </c>
      <c r="J5" s="133">
        <f>IF(E5="Hourly",INDEX('Employee Master'!J$4:J$23,MATCH(A5,'Employee Master'!A$4:A$23,0))*G5*0.5,0)</f>
        <v>0</v>
      </c>
      <c r="K5" s="133">
        <f>IF(E5="Hourly",INDEX('Employee Master'!J$4:J$23,MATCH(A5,'Employee Master'!A$4:A$23,0))*H5,0)</f>
        <v>0</v>
      </c>
      <c r="L5" s="133">
        <v>0</v>
      </c>
      <c r="M5" s="133">
        <f t="shared" si="0"/>
        <v>3000</v>
      </c>
      <c r="N5" s="133">
        <f>IFERROR(IF(INDEX('Employee Master'!L$4:L$23,MATCH(A5,'Employee Master'!A$4:A$23,0))="MFJ",IF((M5*26)&lt;=14600,(M5*26)*0.1,IF((M5*26)&lt;=57750,1460+((M5*26)-14600)*0.12,IF((M5*26)&lt;=113600,6628+((M5*26)-57750)*0.22,IF((M5*26)&lt;=225600,18914+((M5*26)-113600)*0.24,IF((M5*26)&lt;=537550,45794+((M5*26)-225600)*0.32,IF((M5*26)&lt;=643450,145538+((M5*26)-537550)*0.35,182648+((M5*26)-643450)*0.37))))))/26,IF((M5*26)&lt;=7300,(M5*26)*0.1,IF((M5*26)&lt;=28875,730+((M5*26)-7300)*0.12,IF((M5*26)&lt;=56875,3319+((M5*26)-28875)*0.22,IF((M5*26)&lt;=112875,9479+((M5*26)-56875)*0.24,IF((M5*26)&lt;=268850,23009+((M5*26)-112875)*0.32,IF((M5*26)&lt;=321800,72937+((M5*26)-268850)*0.35,91487+((M5*26)-321800)*0.37))))))/26),0)</f>
        <v>559.57692307692309</v>
      </c>
      <c r="O5" s="133">
        <f t="shared" si="1"/>
        <v>186</v>
      </c>
      <c r="P5" s="133">
        <f t="shared" si="2"/>
        <v>43.5</v>
      </c>
      <c r="Q5" s="133">
        <f>ROUND(M5*INDEX('Employee Master'!N$4:N$23,MATCH(A5,'Employee Master'!A$4:A$23,0)),2)</f>
        <v>164.7</v>
      </c>
      <c r="R5" s="133">
        <f t="shared" si="3"/>
        <v>953.77692307692314</v>
      </c>
      <c r="S5" s="133">
        <f>IFERROR(INDEX('Employee Master'!O$4:O$23,MATCH(A5,'Employee Master'!A$4:A$23,0))/26,0)</f>
        <v>21.153846153846153</v>
      </c>
      <c r="T5" s="133">
        <f>IFERROR(INDEX('Employee Master'!P$4:P$23,MATCH(A5,'Employee Master'!A$4:A$23,0))/26,0)</f>
        <v>1.7307692307692308</v>
      </c>
      <c r="U5" s="133">
        <f>IFERROR(INDEX('Employee Master'!Q$4:Q$23,MATCH(A5,'Employee Master'!A$4:A$23,0))/26,0)</f>
        <v>0.57692307692307687</v>
      </c>
      <c r="V5" s="133">
        <f>ROUND(M5*IFERROR(INDEX('Employee Master'!R$4:R$23,MATCH(A5,'Employee Master'!A$4:A$23,0)),0),2)</f>
        <v>120</v>
      </c>
      <c r="W5" s="133">
        <f>IFERROR(INDEX('Employee Master'!S$4:S$23,MATCH(A5,'Employee Master'!A$4:A$23,0))/26,0)</f>
        <v>0.96153846153846156</v>
      </c>
      <c r="X5" s="133">
        <f t="shared" si="4"/>
        <v>144.42307692307691</v>
      </c>
      <c r="Y5" s="133">
        <f t="shared" si="5"/>
        <v>1901.8</v>
      </c>
    </row>
    <row r="6" spans="1:25" ht="18" customHeight="1" x14ac:dyDescent="0.3">
      <c r="A6" s="99" t="s">
        <v>269</v>
      </c>
      <c r="B6" s="128" t="str">
        <f>INDEX('Employee Master'!B$4:B$23,MATCH(A6,'Employee Master'!A$4:A$23,0))</f>
        <v>Williams</v>
      </c>
      <c r="C6" s="128" t="str">
        <f>INDEX('Employee Master'!C$4:C$23,MATCH(A6,'Employee Master'!A$4:A$23,0))</f>
        <v>David</v>
      </c>
      <c r="D6" s="128" t="str">
        <f>INDEX('Employee Master'!E$4:E$23,MATCH(A6,'Employee Master'!A$4:A$23,0))</f>
        <v>Finance</v>
      </c>
      <c r="E6" s="99" t="str">
        <f>INDEX('Employee Master'!G$4:G$23,MATCH(A6,'Employee Master'!A$4:A$23,0))</f>
        <v>Salary</v>
      </c>
      <c r="F6" s="129">
        <v>80</v>
      </c>
      <c r="G6" s="129">
        <v>0</v>
      </c>
      <c r="H6" s="129">
        <v>0</v>
      </c>
      <c r="I6" s="130">
        <f>IF(E6="Salary",INDEX('Employee Master'!I$4:I$23,MATCH(A6,'Employee Master'!A$4:A$23,0))/26,INDEX('Employee Master'!J$4:J$23,MATCH(A6,'Employee Master'!A$4:A$23,0))*F6)</f>
        <v>4807.6923076923076</v>
      </c>
      <c r="J6" s="130">
        <f>IF(E6="Hourly",INDEX('Employee Master'!J$4:J$23,MATCH(A6,'Employee Master'!A$4:A$23,0))*G6*0.5,0)</f>
        <v>0</v>
      </c>
      <c r="K6" s="130">
        <f>IF(E6="Hourly",INDEX('Employee Master'!J$4:J$23,MATCH(A6,'Employee Master'!A$4:A$23,0))*H6,0)</f>
        <v>0</v>
      </c>
      <c r="L6" s="130">
        <v>0</v>
      </c>
      <c r="M6" s="130">
        <f t="shared" si="0"/>
        <v>4807.6923076923076</v>
      </c>
      <c r="N6" s="130">
        <f>IFERROR(IF(INDEX('Employee Master'!L$4:L$23,MATCH(A6,'Employee Master'!A$4:A$23,0))="MFJ",IF((M6*26)&lt;=14600,(M6*26)*0.1,IF((M6*26)&lt;=57750,1460+((M6*26)-14600)*0.12,IF((M6*26)&lt;=113600,6628+((M6*26)-57750)*0.22,IF((M6*26)&lt;=225600,18914+((M6*26)-113600)*0.24,IF((M6*26)&lt;=537550,45794+((M6*26)-225600)*0.32,IF((M6*26)&lt;=643450,145538+((M6*26)-537550)*0.35,182648+((M6*26)-643450)*0.37))))))/26,IF((M6*26)&lt;=7300,(M6*26)*0.1,IF((M6*26)&lt;=28875,730+((M6*26)-7300)*0.12,IF((M6*26)&lt;=56875,3319+((M6*26)-28875)*0.22,IF((M6*26)&lt;=112875,9479+((M6*26)-56875)*0.24,IF((M6*26)&lt;=268850,23009+((M6*26)-112875)*0.32,IF((M6*26)&lt;=321800,72937+((M6*26)-268850)*0.35,91487+((M6*26)-321800)*0.37))))))/26),0)</f>
        <v>832.69230769230774</v>
      </c>
      <c r="O6" s="130">
        <f t="shared" si="1"/>
        <v>298.08</v>
      </c>
      <c r="P6" s="130">
        <f t="shared" si="2"/>
        <v>69.709999999999994</v>
      </c>
      <c r="Q6" s="130">
        <f>ROUND(M6*INDEX('Employee Master'!N$4:N$23,MATCH(A6,'Employee Master'!A$4:A$23,0)),2)</f>
        <v>263.94</v>
      </c>
      <c r="R6" s="130">
        <f t="shared" si="3"/>
        <v>1464.4223076923079</v>
      </c>
      <c r="S6" s="130">
        <f>IFERROR(INDEX('Employee Master'!O$4:O$23,MATCH(A6,'Employee Master'!A$4:A$23,0))/26,0)</f>
        <v>32.692307692307693</v>
      </c>
      <c r="T6" s="130">
        <f>IFERROR(INDEX('Employee Master'!P$4:P$23,MATCH(A6,'Employee Master'!A$4:A$23,0))/26,0)</f>
        <v>1.7307692307692308</v>
      </c>
      <c r="U6" s="130">
        <f>IFERROR(INDEX('Employee Master'!Q$4:Q$23,MATCH(A6,'Employee Master'!A$4:A$23,0))/26,0)</f>
        <v>0.57692307692307687</v>
      </c>
      <c r="V6" s="130">
        <f>ROUND(M6*IFERROR(INDEX('Employee Master'!R$4:R$23,MATCH(A6,'Employee Master'!A$4:A$23,0)),0),2)</f>
        <v>384.62</v>
      </c>
      <c r="W6" s="130">
        <f>IFERROR(INDEX('Employee Master'!S$4:S$23,MATCH(A6,'Employee Master'!A$4:A$23,0))/26,0)</f>
        <v>0.96153846153846156</v>
      </c>
      <c r="X6" s="130">
        <f t="shared" si="4"/>
        <v>420.58153846153846</v>
      </c>
      <c r="Y6" s="130">
        <f t="shared" si="5"/>
        <v>2922.6884615384611</v>
      </c>
    </row>
    <row r="7" spans="1:25" ht="18" customHeight="1" x14ac:dyDescent="0.3">
      <c r="A7" s="91" t="s">
        <v>270</v>
      </c>
      <c r="B7" s="131" t="str">
        <f>INDEX('Employee Master'!B$4:B$23,MATCH(A7,'Employee Master'!A$4:A$23,0))</f>
        <v>Brown</v>
      </c>
      <c r="C7" s="131" t="str">
        <f>INDEX('Employee Master'!C$4:C$23,MATCH(A7,'Employee Master'!A$4:A$23,0))</f>
        <v>Jessica</v>
      </c>
      <c r="D7" s="131" t="str">
        <f>INDEX('Employee Master'!E$4:E$23,MATCH(A7,'Employee Master'!A$4:A$23,0))</f>
        <v>Finance</v>
      </c>
      <c r="E7" s="91" t="str">
        <f>INDEX('Employee Master'!G$4:G$23,MATCH(A7,'Employee Master'!A$4:A$23,0))</f>
        <v>Salary</v>
      </c>
      <c r="F7" s="132">
        <v>80</v>
      </c>
      <c r="G7" s="132">
        <v>2.5</v>
      </c>
      <c r="H7" s="132">
        <v>0</v>
      </c>
      <c r="I7" s="133">
        <f>IF(E7="Salary",INDEX('Employee Master'!I$4:I$23,MATCH(A7,'Employee Master'!A$4:A$23,0))/26,INDEX('Employee Master'!J$4:J$23,MATCH(A7,'Employee Master'!A$4:A$23,0))*F7)</f>
        <v>2769.2307692307691</v>
      </c>
      <c r="J7" s="133">
        <f>IF(E7="Hourly",INDEX('Employee Master'!J$4:J$23,MATCH(A7,'Employee Master'!A$4:A$23,0))*G7*0.5,0)</f>
        <v>0</v>
      </c>
      <c r="K7" s="133">
        <f>IF(E7="Hourly",INDEX('Employee Master'!J$4:J$23,MATCH(A7,'Employee Master'!A$4:A$23,0))*H7,0)</f>
        <v>0</v>
      </c>
      <c r="L7" s="133">
        <v>0</v>
      </c>
      <c r="M7" s="133">
        <f t="shared" si="0"/>
        <v>2769.2307692307691</v>
      </c>
      <c r="N7" s="133">
        <f>IFERROR(IF(INDEX('Employee Master'!L$4:L$23,MATCH(A7,'Employee Master'!A$4:A$23,0))="MFJ",IF((M7*26)&lt;=14600,(M7*26)*0.1,IF((M7*26)&lt;=57750,1460+((M7*26)-14600)*0.12,IF((M7*26)&lt;=113600,6628+((M7*26)-57750)*0.22,IF((M7*26)&lt;=225600,18914+((M7*26)-113600)*0.24,IF((M7*26)&lt;=537550,45794+((M7*26)-225600)*0.32,IF((M7*26)&lt;=643450,145538+((M7*26)-537550)*0.35,182648+((M7*26)-643450)*0.37))))))/26,IF((M7*26)&lt;=7300,(M7*26)*0.1,IF((M7*26)&lt;=28875,730+((M7*26)-7300)*0.12,IF((M7*26)&lt;=56875,3319+((M7*26)-28875)*0.22,IF((M7*26)&lt;=112875,9479+((M7*26)-56875)*0.24,IF((M7*26)&lt;=268850,23009+((M7*26)-112875)*0.32,IF((M7*26)&lt;=321800,72937+((M7*26)-268850)*0.35,91487+((M7*26)-321800)*0.37))))))/26),0)</f>
        <v>504.19230769230768</v>
      </c>
      <c r="O7" s="133">
        <f t="shared" si="1"/>
        <v>171.69</v>
      </c>
      <c r="P7" s="133">
        <f t="shared" si="2"/>
        <v>40.15</v>
      </c>
      <c r="Q7" s="133">
        <f>ROUND(M7*INDEX('Employee Master'!N$4:N$23,MATCH(A7,'Employee Master'!A$4:A$23,0)),2)</f>
        <v>152.03</v>
      </c>
      <c r="R7" s="133">
        <f t="shared" si="3"/>
        <v>868.06230769230763</v>
      </c>
      <c r="S7" s="133">
        <f>IFERROR(INDEX('Employee Master'!O$4:O$23,MATCH(A7,'Employee Master'!A$4:A$23,0))/26,0)</f>
        <v>21.153846153846153</v>
      </c>
      <c r="T7" s="133">
        <f>IFERROR(INDEX('Employee Master'!P$4:P$23,MATCH(A7,'Employee Master'!A$4:A$23,0))/26,0)</f>
        <v>1.7307692307692308</v>
      </c>
      <c r="U7" s="133">
        <f>IFERROR(INDEX('Employee Master'!Q$4:Q$23,MATCH(A7,'Employee Master'!A$4:A$23,0))/26,0)</f>
        <v>0.57692307692307687</v>
      </c>
      <c r="V7" s="133">
        <f>ROUND(M7*IFERROR(INDEX('Employee Master'!R$4:R$23,MATCH(A7,'Employee Master'!A$4:A$23,0)),0),2)</f>
        <v>138.46</v>
      </c>
      <c r="W7" s="133">
        <f>IFERROR(INDEX('Employee Master'!S$4:S$23,MATCH(A7,'Employee Master'!A$4:A$23,0))/26,0)</f>
        <v>0.96153846153846156</v>
      </c>
      <c r="X7" s="133">
        <f t="shared" si="4"/>
        <v>162.88307692307691</v>
      </c>
      <c r="Y7" s="133">
        <f t="shared" si="5"/>
        <v>1738.2853846153846</v>
      </c>
    </row>
    <row r="8" spans="1:25" ht="18" customHeight="1" x14ac:dyDescent="0.3">
      <c r="A8" s="99" t="s">
        <v>271</v>
      </c>
      <c r="B8" s="128" t="str">
        <f>INDEX('Employee Master'!B$4:B$23,MATCH(A8,'Employee Master'!A$4:A$23,0))</f>
        <v>Davis</v>
      </c>
      <c r="C8" s="128" t="str">
        <f>INDEX('Employee Master'!C$4:C$23,MATCH(A8,'Employee Master'!A$4:A$23,0))</f>
        <v>Robert</v>
      </c>
      <c r="D8" s="128" t="str">
        <f>INDEX('Employee Master'!E$4:E$23,MATCH(A8,'Employee Master'!A$4:A$23,0))</f>
        <v>Finance</v>
      </c>
      <c r="E8" s="99" t="str">
        <f>INDEX('Employee Master'!G$4:G$23,MATCH(A8,'Employee Master'!A$4:A$23,0))</f>
        <v>Salary</v>
      </c>
      <c r="F8" s="129">
        <v>80</v>
      </c>
      <c r="G8" s="129">
        <v>0</v>
      </c>
      <c r="H8" s="129">
        <v>0</v>
      </c>
      <c r="I8" s="130">
        <f>IF(E8="Salary",INDEX('Employee Master'!I$4:I$23,MATCH(A8,'Employee Master'!A$4:A$23,0))/26,INDEX('Employee Master'!J$4:J$23,MATCH(A8,'Employee Master'!A$4:A$23,0))*F8)</f>
        <v>2115.3846153846152</v>
      </c>
      <c r="J8" s="130">
        <f>IF(E8="Hourly",INDEX('Employee Master'!J$4:J$23,MATCH(A8,'Employee Master'!A$4:A$23,0))*G8*0.5,0)</f>
        <v>0</v>
      </c>
      <c r="K8" s="130">
        <f>IF(E8="Hourly",INDEX('Employee Master'!J$4:J$23,MATCH(A8,'Employee Master'!A$4:A$23,0))*H8,0)</f>
        <v>0</v>
      </c>
      <c r="L8" s="130">
        <v>0</v>
      </c>
      <c r="M8" s="130">
        <f t="shared" si="0"/>
        <v>2115.3846153846152</v>
      </c>
      <c r="N8" s="130">
        <f>IFERROR(IF(INDEX('Employee Master'!L$4:L$23,MATCH(A8,'Employee Master'!A$4:A$23,0))="MFJ",IF((M8*26)&lt;=14600,(M8*26)*0.1,IF((M8*26)&lt;=57750,1460+((M8*26)-14600)*0.12,IF((M8*26)&lt;=113600,6628+((M8*26)-57750)*0.22,IF((M8*26)&lt;=225600,18914+((M8*26)-113600)*0.24,IF((M8*26)&lt;=537550,45794+((M8*26)-225600)*0.32,IF((M8*26)&lt;=643450,145538+((M8*26)-537550)*0.35,182648+((M8*26)-643450)*0.37))))))/26,IF((M8*26)&lt;=7300,(M8*26)*0.1,IF((M8*26)&lt;=28875,730+((M8*26)-7300)*0.12,IF((M8*26)&lt;=56875,3319+((M8*26)-28875)*0.22,IF((M8*26)&lt;=112875,9479+((M8*26)-56875)*0.24,IF((M8*26)&lt;=268850,23009+((M8*26)-112875)*0.32,IF((M8*26)&lt;=321800,72937+((M8*26)-268850)*0.35,91487+((M8*26)-321800)*0.37))))))/26),0)</f>
        <v>348.71153846153845</v>
      </c>
      <c r="O8" s="130">
        <f t="shared" si="1"/>
        <v>131.15</v>
      </c>
      <c r="P8" s="130">
        <f t="shared" si="2"/>
        <v>30.67</v>
      </c>
      <c r="Q8" s="130">
        <f>ROUND(M8*INDEX('Employee Master'!N$4:N$23,MATCH(A8,'Employee Master'!A$4:A$23,0)),2)</f>
        <v>116.13</v>
      </c>
      <c r="R8" s="130">
        <f t="shared" si="3"/>
        <v>626.66153846153838</v>
      </c>
      <c r="S8" s="130">
        <f>IFERROR(INDEX('Employee Master'!O$4:O$23,MATCH(A8,'Employee Master'!A$4:A$23,0))/26,0)</f>
        <v>11.346153846153847</v>
      </c>
      <c r="T8" s="130">
        <f>IFERROR(INDEX('Employee Master'!P$4:P$23,MATCH(A8,'Employee Master'!A$4:A$23,0))/26,0)</f>
        <v>1.7307692307692308</v>
      </c>
      <c r="U8" s="130">
        <f>IFERROR(INDEX('Employee Master'!Q$4:Q$23,MATCH(A8,'Employee Master'!A$4:A$23,0))/26,0)</f>
        <v>0.57692307692307687</v>
      </c>
      <c r="V8" s="130">
        <f>ROUND(M8*IFERROR(INDEX('Employee Master'!R$4:R$23,MATCH(A8,'Employee Master'!A$4:A$23,0)),0),2)</f>
        <v>63.46</v>
      </c>
      <c r="W8" s="130">
        <f>IFERROR(INDEX('Employee Master'!S$4:S$23,MATCH(A8,'Employee Master'!A$4:A$23,0))/26,0)</f>
        <v>0.96153846153846156</v>
      </c>
      <c r="X8" s="130">
        <f t="shared" si="4"/>
        <v>78.075384615384621</v>
      </c>
      <c r="Y8" s="130">
        <f t="shared" si="5"/>
        <v>1410.6476923076923</v>
      </c>
    </row>
    <row r="9" spans="1:25" ht="18" customHeight="1" x14ac:dyDescent="0.3">
      <c r="A9" s="91" t="s">
        <v>272</v>
      </c>
      <c r="B9" s="131" t="str">
        <f>INDEX('Employee Master'!B$4:B$23,MATCH(A9,'Employee Master'!A$4:A$23,0))</f>
        <v>Martinez</v>
      </c>
      <c r="C9" s="131" t="str">
        <f>INDEX('Employee Master'!C$4:C$23,MATCH(A9,'Employee Master'!A$4:A$23,0))</f>
        <v>Elena</v>
      </c>
      <c r="D9" s="131" t="str">
        <f>INDEX('Employee Master'!E$4:E$23,MATCH(A9,'Employee Master'!A$4:A$23,0))</f>
        <v>Operations</v>
      </c>
      <c r="E9" s="91" t="str">
        <f>INDEX('Employee Master'!G$4:G$23,MATCH(A9,'Employee Master'!A$4:A$23,0))</f>
        <v>Salary</v>
      </c>
      <c r="F9" s="132">
        <v>80</v>
      </c>
      <c r="G9" s="132">
        <v>0</v>
      </c>
      <c r="H9" s="132">
        <v>0</v>
      </c>
      <c r="I9" s="133">
        <f>IF(E9="Salary",INDEX('Employee Master'!I$4:I$23,MATCH(A9,'Employee Master'!A$4:A$23,0))/26,INDEX('Employee Master'!J$4:J$23,MATCH(A9,'Employee Master'!A$4:A$23,0))*F9)</f>
        <v>3653.8461538461538</v>
      </c>
      <c r="J9" s="133">
        <f>IF(E9="Hourly",INDEX('Employee Master'!J$4:J$23,MATCH(A9,'Employee Master'!A$4:A$23,0))*G9*0.5,0)</f>
        <v>0</v>
      </c>
      <c r="K9" s="133">
        <f>IF(E9="Hourly",INDEX('Employee Master'!J$4:J$23,MATCH(A9,'Employee Master'!A$4:A$23,0))*H9,0)</f>
        <v>0</v>
      </c>
      <c r="L9" s="133">
        <v>0</v>
      </c>
      <c r="M9" s="133">
        <f t="shared" si="0"/>
        <v>3653.8461538461538</v>
      </c>
      <c r="N9" s="133">
        <f>IFERROR(IF(INDEX('Employee Master'!L$4:L$23,MATCH(A9,'Employee Master'!A$4:A$23,0))="MFJ",IF((M9*26)&lt;=14600,(M9*26)*0.1,IF((M9*26)&lt;=57750,1460+((M9*26)-14600)*0.12,IF((M9*26)&lt;=113600,6628+((M9*26)-57750)*0.22,IF((M9*26)&lt;=225600,18914+((M9*26)-113600)*0.24,IF((M9*26)&lt;=537550,45794+((M9*26)-225600)*0.32,IF((M9*26)&lt;=643450,145538+((M9*26)-537550)*0.35,182648+((M9*26)-643450)*0.37))))))/26,IF((M9*26)&lt;=7300,(M9*26)*0.1,IF((M9*26)&lt;=28875,730+((M9*26)-7300)*0.12,IF((M9*26)&lt;=56875,3319+((M9*26)-28875)*0.22,IF((M9*26)&lt;=112875,9479+((M9*26)-56875)*0.24,IF((M9*26)&lt;=268850,23009+((M9*26)-112875)*0.32,IF((M9*26)&lt;=321800,72937+((M9*26)-268850)*0.35,91487+((M9*26)-321800)*0.37))))))/26),0)</f>
        <v>570.11538461538464</v>
      </c>
      <c r="O9" s="133">
        <f t="shared" si="1"/>
        <v>226.54</v>
      </c>
      <c r="P9" s="133">
        <f t="shared" si="2"/>
        <v>52.98</v>
      </c>
      <c r="Q9" s="133">
        <f>ROUND(M9*INDEX('Employee Master'!N$4:N$23,MATCH(A9,'Employee Master'!A$4:A$23,0)),2)</f>
        <v>200.6</v>
      </c>
      <c r="R9" s="133">
        <f t="shared" si="3"/>
        <v>1050.2353846153846</v>
      </c>
      <c r="S9" s="133">
        <f>IFERROR(INDEX('Employee Master'!O$4:O$23,MATCH(A9,'Employee Master'!A$4:A$23,0))/26,0)</f>
        <v>32.692307692307693</v>
      </c>
      <c r="T9" s="133">
        <f>IFERROR(INDEX('Employee Master'!P$4:P$23,MATCH(A9,'Employee Master'!A$4:A$23,0))/26,0)</f>
        <v>1.7307692307692308</v>
      </c>
      <c r="U9" s="133">
        <f>IFERROR(INDEX('Employee Master'!Q$4:Q$23,MATCH(A9,'Employee Master'!A$4:A$23,0))/26,0)</f>
        <v>0.57692307692307687</v>
      </c>
      <c r="V9" s="133">
        <f>ROUND(M9*IFERROR(INDEX('Employee Master'!R$4:R$23,MATCH(A9,'Employee Master'!A$4:A$23,0)),0),2)</f>
        <v>255.77</v>
      </c>
      <c r="W9" s="133">
        <f>IFERROR(INDEX('Employee Master'!S$4:S$23,MATCH(A9,'Employee Master'!A$4:A$23,0))/26,0)</f>
        <v>0.96153846153846156</v>
      </c>
      <c r="X9" s="133">
        <f t="shared" si="4"/>
        <v>291.73153846153849</v>
      </c>
      <c r="Y9" s="133">
        <f t="shared" si="5"/>
        <v>2311.8792307692306</v>
      </c>
    </row>
    <row r="10" spans="1:25" ht="18" customHeight="1" x14ac:dyDescent="0.3">
      <c r="A10" s="99" t="s">
        <v>273</v>
      </c>
      <c r="B10" s="128" t="str">
        <f>INDEX('Employee Master'!B$4:B$23,MATCH(A10,'Employee Master'!A$4:A$23,0))</f>
        <v>Garcia</v>
      </c>
      <c r="C10" s="128" t="str">
        <f>INDEX('Employee Master'!C$4:C$23,MATCH(A10,'Employee Master'!A$4:A$23,0))</f>
        <v>Carlos</v>
      </c>
      <c r="D10" s="128" t="str">
        <f>INDEX('Employee Master'!E$4:E$23,MATCH(A10,'Employee Master'!A$4:A$23,0))</f>
        <v>Operations</v>
      </c>
      <c r="E10" s="99" t="str">
        <f>INDEX('Employee Master'!G$4:G$23,MATCH(A10,'Employee Master'!A$4:A$23,0))</f>
        <v>Salary</v>
      </c>
      <c r="F10" s="129">
        <v>80</v>
      </c>
      <c r="G10" s="129">
        <v>4</v>
      </c>
      <c r="H10" s="129">
        <v>0</v>
      </c>
      <c r="I10" s="130">
        <f>IF(E10="Salary",INDEX('Employee Master'!I$4:I$23,MATCH(A10,'Employee Master'!A$4:A$23,0))/26,INDEX('Employee Master'!J$4:J$23,MATCH(A10,'Employee Master'!A$4:A$23,0))*F10)</f>
        <v>2500</v>
      </c>
      <c r="J10" s="130">
        <f>IF(E10="Hourly",INDEX('Employee Master'!J$4:J$23,MATCH(A10,'Employee Master'!A$4:A$23,0))*G10*0.5,0)</f>
        <v>0</v>
      </c>
      <c r="K10" s="130">
        <f>IF(E10="Hourly",INDEX('Employee Master'!J$4:J$23,MATCH(A10,'Employee Master'!A$4:A$23,0))*H10,0)</f>
        <v>0</v>
      </c>
      <c r="L10" s="130">
        <v>0</v>
      </c>
      <c r="M10" s="130">
        <f t="shared" si="0"/>
        <v>2500</v>
      </c>
      <c r="N10" s="130">
        <f>IFERROR(IF(INDEX('Employee Master'!L$4:L$23,MATCH(A10,'Employee Master'!A$4:A$23,0))="MFJ",IF((M10*26)&lt;=14600,(M10*26)*0.1,IF((M10*26)&lt;=57750,1460+((M10*26)-14600)*0.12,IF((M10*26)&lt;=113600,6628+((M10*26)-57750)*0.22,IF((M10*26)&lt;=225600,18914+((M10*26)-113600)*0.24,IF((M10*26)&lt;=537550,45794+((M10*26)-225600)*0.32,IF((M10*26)&lt;=643450,145538+((M10*26)-537550)*0.35,182648+((M10*26)-643450)*0.37))))))/26,IF((M10*26)&lt;=7300,(M10*26)*0.1,IF((M10*26)&lt;=28875,730+((M10*26)-7300)*0.12,IF((M10*26)&lt;=56875,3319+((M10*26)-28875)*0.22,IF((M10*26)&lt;=112875,9479+((M10*26)-56875)*0.24,IF((M10*26)&lt;=268850,23009+((M10*26)-112875)*0.32,IF((M10*26)&lt;=321800,72937+((M10*26)-268850)*0.35,91487+((M10*26)-321800)*0.37))))))/26),0)</f>
        <v>439.57692307692309</v>
      </c>
      <c r="O10" s="130">
        <f t="shared" si="1"/>
        <v>155</v>
      </c>
      <c r="P10" s="130">
        <f t="shared" si="2"/>
        <v>36.25</v>
      </c>
      <c r="Q10" s="130">
        <f>ROUND(M10*INDEX('Employee Master'!N$4:N$23,MATCH(A10,'Employee Master'!A$4:A$23,0)),2)</f>
        <v>137.25</v>
      </c>
      <c r="R10" s="130">
        <f t="shared" si="3"/>
        <v>768.07692307692309</v>
      </c>
      <c r="S10" s="130">
        <f>IFERROR(INDEX('Employee Master'!O$4:O$23,MATCH(A10,'Employee Master'!A$4:A$23,0))/26,0)</f>
        <v>23.846153846153847</v>
      </c>
      <c r="T10" s="130">
        <f>IFERROR(INDEX('Employee Master'!P$4:P$23,MATCH(A10,'Employee Master'!A$4:A$23,0))/26,0)</f>
        <v>1.7307692307692308</v>
      </c>
      <c r="U10" s="130">
        <f>IFERROR(INDEX('Employee Master'!Q$4:Q$23,MATCH(A10,'Employee Master'!A$4:A$23,0))/26,0)</f>
        <v>0.57692307692307687</v>
      </c>
      <c r="V10" s="130">
        <f>ROUND(M10*IFERROR(INDEX('Employee Master'!R$4:R$23,MATCH(A10,'Employee Master'!A$4:A$23,0)),0),2)</f>
        <v>125</v>
      </c>
      <c r="W10" s="130">
        <f>IFERROR(INDEX('Employee Master'!S$4:S$23,MATCH(A10,'Employee Master'!A$4:A$23,0))/26,0)</f>
        <v>0.96153846153846156</v>
      </c>
      <c r="X10" s="130">
        <f t="shared" si="4"/>
        <v>152.11538461538461</v>
      </c>
      <c r="Y10" s="130">
        <f t="shared" si="5"/>
        <v>1579.8076923076924</v>
      </c>
    </row>
    <row r="11" spans="1:25" ht="18" customHeight="1" x14ac:dyDescent="0.3">
      <c r="A11" s="91" t="s">
        <v>274</v>
      </c>
      <c r="B11" s="131" t="str">
        <f>INDEX('Employee Master'!B$4:B$23,MATCH(A11,'Employee Master'!A$4:A$23,0))</f>
        <v>Miller</v>
      </c>
      <c r="C11" s="131" t="str">
        <f>INDEX('Employee Master'!C$4:C$23,MATCH(A11,'Employee Master'!A$4:A$23,0))</f>
        <v>Amanda</v>
      </c>
      <c r="D11" s="131" t="str">
        <f>INDEX('Employee Master'!E$4:E$23,MATCH(A11,'Employee Master'!A$4:A$23,0))</f>
        <v>Operations</v>
      </c>
      <c r="E11" s="91" t="str">
        <f>INDEX('Employee Master'!G$4:G$23,MATCH(A11,'Employee Master'!A$4:A$23,0))</f>
        <v>Salary</v>
      </c>
      <c r="F11" s="132">
        <v>80</v>
      </c>
      <c r="G11" s="132">
        <v>0</v>
      </c>
      <c r="H11" s="132">
        <v>0</v>
      </c>
      <c r="I11" s="133">
        <f>IF(E11="Salary",INDEX('Employee Master'!I$4:I$23,MATCH(A11,'Employee Master'!A$4:A$23,0))/26,INDEX('Employee Master'!J$4:J$23,MATCH(A11,'Employee Master'!A$4:A$23,0))*F11)</f>
        <v>2000</v>
      </c>
      <c r="J11" s="133">
        <f>IF(E11="Hourly",INDEX('Employee Master'!J$4:J$23,MATCH(A11,'Employee Master'!A$4:A$23,0))*G11*0.5,0)</f>
        <v>0</v>
      </c>
      <c r="K11" s="133">
        <f>IF(E11="Hourly",INDEX('Employee Master'!J$4:J$23,MATCH(A11,'Employee Master'!A$4:A$23,0))*H11,0)</f>
        <v>0</v>
      </c>
      <c r="L11" s="133">
        <v>0</v>
      </c>
      <c r="M11" s="133">
        <f t="shared" si="0"/>
        <v>2000</v>
      </c>
      <c r="N11" s="133">
        <f>IFERROR(IF(INDEX('Employee Master'!L$4:L$23,MATCH(A11,'Employee Master'!A$4:A$23,0))="MFJ",IF((M11*26)&lt;=14600,(M11*26)*0.1,IF((M11*26)&lt;=57750,1460+((M11*26)-14600)*0.12,IF((M11*26)&lt;=113600,6628+((M11*26)-57750)*0.22,IF((M11*26)&lt;=225600,18914+((M11*26)-113600)*0.24,IF((M11*26)&lt;=537550,45794+((M11*26)-225600)*0.32,IF((M11*26)&lt;=643450,145538+((M11*26)-537550)*0.35,182648+((M11*26)-643450)*0.37))))))/26,IF((M11*26)&lt;=7300,(M11*26)*0.1,IF((M11*26)&lt;=28875,730+((M11*26)-7300)*0.12,IF((M11*26)&lt;=56875,3319+((M11*26)-28875)*0.22,IF((M11*26)&lt;=112875,9479+((M11*26)-56875)*0.24,IF((M11*26)&lt;=268850,23009+((M11*26)-112875)*0.32,IF((M11*26)&lt;=321800,72937+((M11*26)-268850)*0.35,91487+((M11*26)-321800)*0.37))))))/26),0)</f>
        <v>323.32692307692309</v>
      </c>
      <c r="O11" s="133">
        <f t="shared" si="1"/>
        <v>124</v>
      </c>
      <c r="P11" s="133">
        <f t="shared" si="2"/>
        <v>29</v>
      </c>
      <c r="Q11" s="133">
        <f>ROUND(M11*INDEX('Employee Master'!N$4:N$23,MATCH(A11,'Employee Master'!A$4:A$23,0)),2)</f>
        <v>109.8</v>
      </c>
      <c r="R11" s="133">
        <f t="shared" si="3"/>
        <v>586.12692307692305</v>
      </c>
      <c r="S11" s="133">
        <f>IFERROR(INDEX('Employee Master'!O$4:O$23,MATCH(A11,'Employee Master'!A$4:A$23,0))/26,0)</f>
        <v>11.346153846153847</v>
      </c>
      <c r="T11" s="133">
        <f>IFERROR(INDEX('Employee Master'!P$4:P$23,MATCH(A11,'Employee Master'!A$4:A$23,0))/26,0)</f>
        <v>1.7307692307692308</v>
      </c>
      <c r="U11" s="133">
        <f>IFERROR(INDEX('Employee Master'!Q$4:Q$23,MATCH(A11,'Employee Master'!A$4:A$23,0))/26,0)</f>
        <v>0</v>
      </c>
      <c r="V11" s="133">
        <f>ROUND(M11*IFERROR(INDEX('Employee Master'!R$4:R$23,MATCH(A11,'Employee Master'!A$4:A$23,0)),0),2)</f>
        <v>60</v>
      </c>
      <c r="W11" s="133">
        <f>IFERROR(INDEX('Employee Master'!S$4:S$23,MATCH(A11,'Employee Master'!A$4:A$23,0))/26,0)</f>
        <v>0.96153846153846156</v>
      </c>
      <c r="X11" s="133">
        <f t="shared" si="4"/>
        <v>74.038461538461547</v>
      </c>
      <c r="Y11" s="133">
        <f t="shared" si="5"/>
        <v>1339.8346153846155</v>
      </c>
    </row>
    <row r="12" spans="1:25" ht="18" customHeight="1" x14ac:dyDescent="0.3">
      <c r="A12" s="99" t="s">
        <v>275</v>
      </c>
      <c r="B12" s="128" t="str">
        <f>INDEX('Employee Master'!B$4:B$23,MATCH(A12,'Employee Master'!A$4:A$23,0))</f>
        <v>Wilson</v>
      </c>
      <c r="C12" s="128" t="str">
        <f>INDEX('Employee Master'!C$4:C$23,MATCH(A12,'Employee Master'!A$4:A$23,0))</f>
        <v>James</v>
      </c>
      <c r="D12" s="128" t="str">
        <f>INDEX('Employee Master'!E$4:E$23,MATCH(A12,'Employee Master'!A$4:A$23,0))</f>
        <v>Operations</v>
      </c>
      <c r="E12" s="99" t="str">
        <f>INDEX('Employee Master'!G$4:G$23,MATCH(A12,'Employee Master'!A$4:A$23,0))</f>
        <v>Hourly</v>
      </c>
      <c r="F12" s="129">
        <v>76</v>
      </c>
      <c r="G12" s="129">
        <v>5.5</v>
      </c>
      <c r="H12" s="129">
        <v>0</v>
      </c>
      <c r="I12" s="130">
        <f>IF(E12="Salary",INDEX('Employee Master'!I$4:I$23,MATCH(A12,'Employee Master'!A$4:A$23,0))/26,INDEX('Employee Master'!J$4:J$23,MATCH(A12,'Employee Master'!A$4:A$23,0))*F12)</f>
        <v>1862</v>
      </c>
      <c r="J12" s="130">
        <f>IF(E12="Hourly",INDEX('Employee Master'!J$4:J$23,MATCH(A12,'Employee Master'!A$4:A$23,0))*G12*0.5,0)</f>
        <v>67.375</v>
      </c>
      <c r="K12" s="130">
        <f>IF(E12="Hourly",INDEX('Employee Master'!J$4:J$23,MATCH(A12,'Employee Master'!A$4:A$23,0))*H12,0)</f>
        <v>0</v>
      </c>
      <c r="L12" s="130">
        <v>0</v>
      </c>
      <c r="M12" s="130">
        <f t="shared" si="0"/>
        <v>1929.375</v>
      </c>
      <c r="N12" s="130">
        <f>IFERROR(IF(INDEX('Employee Master'!L$4:L$23,MATCH(A12,'Employee Master'!A$4:A$23,0))="MFJ",IF((M12*26)&lt;=14600,(M12*26)*0.1,IF((M12*26)&lt;=57750,1460+((M12*26)-14600)*0.12,IF((M12*26)&lt;=113600,6628+((M12*26)-57750)*0.22,IF((M12*26)&lt;=225600,18914+((M12*26)-113600)*0.24,IF((M12*26)&lt;=537550,45794+((M12*26)-225600)*0.32,IF((M12*26)&lt;=643450,145538+((M12*26)-537550)*0.35,182648+((M12*26)-643450)*0.37))))))/26,IF((M12*26)&lt;=7300,(M12*26)*0.1,IF((M12*26)&lt;=28875,730+((M12*26)-7300)*0.12,IF((M12*26)&lt;=56875,3319+((M12*26)-28875)*0.22,IF((M12*26)&lt;=112875,9479+((M12*26)-56875)*0.24,IF((M12*26)&lt;=268850,23009+((M12*26)-112875)*0.32,IF((M12*26)&lt;=321800,72937+((M12*26)-268850)*0.35,91487+((M12*26)-321800)*0.37))))))/26),0)</f>
        <v>307.78942307692307</v>
      </c>
      <c r="O12" s="130">
        <f t="shared" si="1"/>
        <v>119.62</v>
      </c>
      <c r="P12" s="130">
        <f t="shared" si="2"/>
        <v>27.98</v>
      </c>
      <c r="Q12" s="130">
        <f>ROUND(M12*INDEX('Employee Master'!N$4:N$23,MATCH(A12,'Employee Master'!A$4:A$23,0)),2)</f>
        <v>105.92</v>
      </c>
      <c r="R12" s="130">
        <f t="shared" si="3"/>
        <v>561.30942307692305</v>
      </c>
      <c r="S12" s="130">
        <f>IFERROR(INDEX('Employee Master'!O$4:O$23,MATCH(A12,'Employee Master'!A$4:A$23,0))/26,0)</f>
        <v>11.346153846153847</v>
      </c>
      <c r="T12" s="130">
        <f>IFERROR(INDEX('Employee Master'!P$4:P$23,MATCH(A12,'Employee Master'!A$4:A$23,0))/26,0)</f>
        <v>1.7307692307692308</v>
      </c>
      <c r="U12" s="130">
        <f>IFERROR(INDEX('Employee Master'!Q$4:Q$23,MATCH(A12,'Employee Master'!A$4:A$23,0))/26,0)</f>
        <v>0.57692307692307687</v>
      </c>
      <c r="V12" s="130">
        <f>ROUND(M12*IFERROR(INDEX('Employee Master'!R$4:R$23,MATCH(A12,'Employee Master'!A$4:A$23,0)),0),2)</f>
        <v>57.88</v>
      </c>
      <c r="W12" s="130">
        <f>IFERROR(INDEX('Employee Master'!S$4:S$23,MATCH(A12,'Employee Master'!A$4:A$23,0))/26,0)</f>
        <v>0.96153846153846156</v>
      </c>
      <c r="X12" s="130">
        <f t="shared" si="4"/>
        <v>72.495384615384623</v>
      </c>
      <c r="Y12" s="130">
        <f t="shared" si="5"/>
        <v>1295.5701923076924</v>
      </c>
    </row>
    <row r="13" spans="1:25" ht="18" customHeight="1" x14ac:dyDescent="0.3">
      <c r="A13" s="91" t="s">
        <v>276</v>
      </c>
      <c r="B13" s="131" t="str">
        <f>INDEX('Employee Master'!B$4:B$23,MATCH(A13,'Employee Master'!A$4:A$23,0))</f>
        <v>Moore</v>
      </c>
      <c r="C13" s="131" t="str">
        <f>INDEX('Employee Master'!C$4:C$23,MATCH(A13,'Employee Master'!A$4:A$23,0))</f>
        <v>Patricia</v>
      </c>
      <c r="D13" s="131" t="str">
        <f>INDEX('Employee Master'!E$4:E$23,MATCH(A13,'Employee Master'!A$4:A$23,0))</f>
        <v>Operations</v>
      </c>
      <c r="E13" s="91" t="str">
        <f>INDEX('Employee Master'!G$4:G$23,MATCH(A13,'Employee Master'!A$4:A$23,0))</f>
        <v>Hourly</v>
      </c>
      <c r="F13" s="132">
        <v>80</v>
      </c>
      <c r="G13" s="132">
        <v>0</v>
      </c>
      <c r="H13" s="132">
        <v>0</v>
      </c>
      <c r="I13" s="133">
        <f>IF(E13="Salary",INDEX('Employee Master'!I$4:I$23,MATCH(A13,'Employee Master'!A$4:A$23,0))/26,INDEX('Employee Master'!J$4:J$23,MATCH(A13,'Employee Master'!A$4:A$23,0))*F13)</f>
        <v>1580</v>
      </c>
      <c r="J13" s="133">
        <f>IF(E13="Hourly",INDEX('Employee Master'!J$4:J$23,MATCH(A13,'Employee Master'!A$4:A$23,0))*G13*0.5,0)</f>
        <v>0</v>
      </c>
      <c r="K13" s="133">
        <f>IF(E13="Hourly",INDEX('Employee Master'!J$4:J$23,MATCH(A13,'Employee Master'!A$4:A$23,0))*H13,0)</f>
        <v>0</v>
      </c>
      <c r="L13" s="133">
        <v>0</v>
      </c>
      <c r="M13" s="133">
        <f t="shared" si="0"/>
        <v>1580</v>
      </c>
      <c r="N13" s="133">
        <f>IFERROR(IF(INDEX('Employee Master'!L$4:L$23,MATCH(A13,'Employee Master'!A$4:A$23,0))="MFJ",IF((M13*26)&lt;=14600,(M13*26)*0.1,IF((M13*26)&lt;=57750,1460+((M13*26)-14600)*0.12,IF((M13*26)&lt;=113600,6628+((M13*26)-57750)*0.22,IF((M13*26)&lt;=225600,18914+((M13*26)-113600)*0.24,IF((M13*26)&lt;=537550,45794+((M13*26)-225600)*0.32,IF((M13*26)&lt;=643450,145538+((M13*26)-537550)*0.35,182648+((M13*26)-643450)*0.37))))))/26,IF((M13*26)&lt;=7300,(M13*26)*0.1,IF((M13*26)&lt;=28875,730+((M13*26)-7300)*0.12,IF((M13*26)&lt;=56875,3319+((M13*26)-28875)*0.22,IF((M13*26)&lt;=112875,9479+((M13*26)-56875)*0.24,IF((M13*26)&lt;=268850,23009+((M13*26)-112875)*0.32,IF((M13*26)&lt;=321800,72937+((M13*26)-268850)*0.35,91487+((M13*26)-321800)*0.37))))))/26),0)</f>
        <v>230.92692307692309</v>
      </c>
      <c r="O13" s="133">
        <f t="shared" si="1"/>
        <v>97.96</v>
      </c>
      <c r="P13" s="133">
        <f t="shared" si="2"/>
        <v>22.91</v>
      </c>
      <c r="Q13" s="133">
        <f>ROUND(M13*INDEX('Employee Master'!N$4:N$23,MATCH(A13,'Employee Master'!A$4:A$23,0)),2)</f>
        <v>86.74</v>
      </c>
      <c r="R13" s="133">
        <f t="shared" si="3"/>
        <v>438.53692307692313</v>
      </c>
      <c r="S13" s="133">
        <f>IFERROR(INDEX('Employee Master'!O$4:O$23,MATCH(A13,'Employee Master'!A$4:A$23,0))/26,0)</f>
        <v>11.346153846153847</v>
      </c>
      <c r="T13" s="133">
        <f>IFERROR(INDEX('Employee Master'!P$4:P$23,MATCH(A13,'Employee Master'!A$4:A$23,0))/26,0)</f>
        <v>1.7307692307692308</v>
      </c>
      <c r="U13" s="133">
        <f>IFERROR(INDEX('Employee Master'!Q$4:Q$23,MATCH(A13,'Employee Master'!A$4:A$23,0))/26,0)</f>
        <v>0</v>
      </c>
      <c r="V13" s="133">
        <f>ROUND(M13*IFERROR(INDEX('Employee Master'!R$4:R$23,MATCH(A13,'Employee Master'!A$4:A$23,0)),0),2)</f>
        <v>0</v>
      </c>
      <c r="W13" s="133">
        <f>IFERROR(INDEX('Employee Master'!S$4:S$23,MATCH(A13,'Employee Master'!A$4:A$23,0))/26,0)</f>
        <v>0.96153846153846156</v>
      </c>
      <c r="X13" s="133">
        <f t="shared" si="4"/>
        <v>14.038461538461538</v>
      </c>
      <c r="Y13" s="133">
        <f t="shared" si="5"/>
        <v>1127.4246153846154</v>
      </c>
    </row>
    <row r="14" spans="1:25" ht="18" customHeight="1" x14ac:dyDescent="0.3">
      <c r="A14" s="99" t="s">
        <v>277</v>
      </c>
      <c r="B14" s="128" t="str">
        <f>INDEX('Employee Master'!B$4:B$23,MATCH(A14,'Employee Master'!A$4:A$23,0))</f>
        <v>Taylor</v>
      </c>
      <c r="C14" s="128" t="str">
        <f>INDEX('Employee Master'!C$4:C$23,MATCH(A14,'Employee Master'!A$4:A$23,0))</f>
        <v>Kevin</v>
      </c>
      <c r="D14" s="128" t="str">
        <f>INDEX('Employee Master'!E$4:E$23,MATCH(A14,'Employee Master'!A$4:A$23,0))</f>
        <v>Information Technology</v>
      </c>
      <c r="E14" s="99" t="str">
        <f>INDEX('Employee Master'!G$4:G$23,MATCH(A14,'Employee Master'!A$4:A$23,0))</f>
        <v>Salary</v>
      </c>
      <c r="F14" s="129">
        <v>80</v>
      </c>
      <c r="G14" s="129">
        <v>0</v>
      </c>
      <c r="H14" s="129">
        <v>0</v>
      </c>
      <c r="I14" s="130">
        <f>IF(E14="Salary",INDEX('Employee Master'!I$4:I$23,MATCH(A14,'Employee Master'!A$4:A$23,0))/26,INDEX('Employee Master'!J$4:J$23,MATCH(A14,'Employee Master'!A$4:A$23,0))*F14)</f>
        <v>4038.4615384615386</v>
      </c>
      <c r="J14" s="130">
        <f>IF(E14="Hourly",INDEX('Employee Master'!J$4:J$23,MATCH(A14,'Employee Master'!A$4:A$23,0))*G14*0.5,0)</f>
        <v>0</v>
      </c>
      <c r="K14" s="130">
        <f>IF(E14="Hourly",INDEX('Employee Master'!J$4:J$23,MATCH(A14,'Employee Master'!A$4:A$23,0))*H14,0)</f>
        <v>0</v>
      </c>
      <c r="L14" s="130">
        <v>0</v>
      </c>
      <c r="M14" s="130">
        <f t="shared" si="0"/>
        <v>4038.4615384615386</v>
      </c>
      <c r="N14" s="130">
        <f>IFERROR(IF(INDEX('Employee Master'!L$4:L$23,MATCH(A14,'Employee Master'!A$4:A$23,0))="MFJ",IF((M14*26)&lt;=14600,(M14*26)*0.1,IF((M14*26)&lt;=57750,1460+((M14*26)-14600)*0.12,IF((M14*26)&lt;=113600,6628+((M14*26)-57750)*0.22,IF((M14*26)&lt;=225600,18914+((M14*26)-113600)*0.24,IF((M14*26)&lt;=537550,45794+((M14*26)-225600)*0.32,IF((M14*26)&lt;=643450,145538+((M14*26)-537550)*0.35,182648+((M14*26)-643450)*0.37))))))/26,IF((M14*26)&lt;=7300,(M14*26)*0.1,IF((M14*26)&lt;=28875,730+((M14*26)-7300)*0.12,IF((M14*26)&lt;=56875,3319+((M14*26)-28875)*0.22,IF((M14*26)&lt;=112875,9479+((M14*26)-56875)*0.24,IF((M14*26)&lt;=268850,23009+((M14*26)-112875)*0.32,IF((M14*26)&lt;=321800,72937+((M14*26)-268850)*0.35,91487+((M14*26)-321800)*0.37))))))/26),0)</f>
        <v>654.73076923076928</v>
      </c>
      <c r="O14" s="130">
        <f t="shared" si="1"/>
        <v>250.38</v>
      </c>
      <c r="P14" s="130">
        <f t="shared" si="2"/>
        <v>58.56</v>
      </c>
      <c r="Q14" s="130">
        <f>ROUND(M14*INDEX('Employee Master'!N$4:N$23,MATCH(A14,'Employee Master'!A$4:A$23,0)),2)</f>
        <v>221.71</v>
      </c>
      <c r="R14" s="130">
        <f t="shared" si="3"/>
        <v>1185.3807692307694</v>
      </c>
      <c r="S14" s="130">
        <f>IFERROR(INDEX('Employee Master'!O$4:O$23,MATCH(A14,'Employee Master'!A$4:A$23,0))/26,0)</f>
        <v>32.692307692307693</v>
      </c>
      <c r="T14" s="130">
        <f>IFERROR(INDEX('Employee Master'!P$4:P$23,MATCH(A14,'Employee Master'!A$4:A$23,0))/26,0)</f>
        <v>1.7307692307692308</v>
      </c>
      <c r="U14" s="130">
        <f>IFERROR(INDEX('Employee Master'!Q$4:Q$23,MATCH(A14,'Employee Master'!A$4:A$23,0))/26,0)</f>
        <v>0.57692307692307687</v>
      </c>
      <c r="V14" s="130">
        <f>ROUND(M14*IFERROR(INDEX('Employee Master'!R$4:R$23,MATCH(A14,'Employee Master'!A$4:A$23,0)),0),2)</f>
        <v>323.08</v>
      </c>
      <c r="W14" s="130">
        <f>IFERROR(INDEX('Employee Master'!S$4:S$23,MATCH(A14,'Employee Master'!A$4:A$23,0))/26,0)</f>
        <v>0.96153846153846156</v>
      </c>
      <c r="X14" s="130">
        <f t="shared" si="4"/>
        <v>359.04153846153844</v>
      </c>
      <c r="Y14" s="130">
        <f t="shared" si="5"/>
        <v>2494.0392307692305</v>
      </c>
    </row>
    <row r="15" spans="1:25" ht="18" customHeight="1" x14ac:dyDescent="0.3">
      <c r="A15" s="91" t="s">
        <v>278</v>
      </c>
      <c r="B15" s="131" t="str">
        <f>INDEX('Employee Master'!B$4:B$23,MATCH(A15,'Employee Master'!A$4:A$23,0))</f>
        <v>Anderson</v>
      </c>
      <c r="C15" s="131" t="str">
        <f>INDEX('Employee Master'!C$4:C$23,MATCH(A15,'Employee Master'!A$4:A$23,0))</f>
        <v>Lisa</v>
      </c>
      <c r="D15" s="131" t="str">
        <f>INDEX('Employee Master'!E$4:E$23,MATCH(A15,'Employee Master'!A$4:A$23,0))</f>
        <v>Information Technology</v>
      </c>
      <c r="E15" s="91" t="str">
        <f>INDEX('Employee Master'!G$4:G$23,MATCH(A15,'Employee Master'!A$4:A$23,0))</f>
        <v>Salary</v>
      </c>
      <c r="F15" s="132">
        <v>80</v>
      </c>
      <c r="G15" s="132">
        <v>3</v>
      </c>
      <c r="H15" s="132">
        <v>0</v>
      </c>
      <c r="I15" s="133">
        <f>IF(E15="Salary",INDEX('Employee Master'!I$4:I$23,MATCH(A15,'Employee Master'!A$4:A$23,0))/26,INDEX('Employee Master'!J$4:J$23,MATCH(A15,'Employee Master'!A$4:A$23,0))*F15)</f>
        <v>3153.8461538461538</v>
      </c>
      <c r="J15" s="133">
        <f>IF(E15="Hourly",INDEX('Employee Master'!J$4:J$23,MATCH(A15,'Employee Master'!A$4:A$23,0))*G15*0.5,0)</f>
        <v>0</v>
      </c>
      <c r="K15" s="133">
        <f>IF(E15="Hourly",INDEX('Employee Master'!J$4:J$23,MATCH(A15,'Employee Master'!A$4:A$23,0))*H15,0)</f>
        <v>0</v>
      </c>
      <c r="L15" s="133">
        <v>0</v>
      </c>
      <c r="M15" s="133">
        <f t="shared" si="0"/>
        <v>3153.8461538461538</v>
      </c>
      <c r="N15" s="133">
        <f>IFERROR(IF(INDEX('Employee Master'!L$4:L$23,MATCH(A15,'Employee Master'!A$4:A$23,0))="MFJ",IF((M15*26)&lt;=14600,(M15*26)*0.1,IF((M15*26)&lt;=57750,1460+((M15*26)-14600)*0.12,IF((M15*26)&lt;=113600,6628+((M15*26)-57750)*0.22,IF((M15*26)&lt;=225600,18914+((M15*26)-113600)*0.24,IF((M15*26)&lt;=537550,45794+((M15*26)-225600)*0.32,IF((M15*26)&lt;=643450,145538+((M15*26)-537550)*0.35,182648+((M15*26)-643450)*0.37))))))/26,IF((M15*26)&lt;=7300,(M15*26)*0.1,IF((M15*26)&lt;=28875,730+((M15*26)-7300)*0.12,IF((M15*26)&lt;=56875,3319+((M15*26)-28875)*0.22,IF((M15*26)&lt;=112875,9479+((M15*26)-56875)*0.24,IF((M15*26)&lt;=268850,23009+((M15*26)-112875)*0.32,IF((M15*26)&lt;=321800,72937+((M15*26)-268850)*0.35,91487+((M15*26)-321800)*0.37))))))/26),0)</f>
        <v>460.11538461538464</v>
      </c>
      <c r="O15" s="133">
        <f t="shared" si="1"/>
        <v>195.54</v>
      </c>
      <c r="P15" s="133">
        <f t="shared" si="2"/>
        <v>45.73</v>
      </c>
      <c r="Q15" s="133">
        <f>ROUND(M15*INDEX('Employee Master'!N$4:N$23,MATCH(A15,'Employee Master'!A$4:A$23,0)),2)</f>
        <v>173.15</v>
      </c>
      <c r="R15" s="133">
        <f t="shared" si="3"/>
        <v>874.5353846153846</v>
      </c>
      <c r="S15" s="133">
        <f>IFERROR(INDEX('Employee Master'!O$4:O$23,MATCH(A15,'Employee Master'!A$4:A$23,0))/26,0)</f>
        <v>32.692307692307693</v>
      </c>
      <c r="T15" s="133">
        <f>IFERROR(INDEX('Employee Master'!P$4:P$23,MATCH(A15,'Employee Master'!A$4:A$23,0))/26,0)</f>
        <v>1.7307692307692308</v>
      </c>
      <c r="U15" s="133">
        <f>IFERROR(INDEX('Employee Master'!Q$4:Q$23,MATCH(A15,'Employee Master'!A$4:A$23,0))/26,0)</f>
        <v>0.57692307692307687</v>
      </c>
      <c r="V15" s="133">
        <f>ROUND(M15*IFERROR(INDEX('Employee Master'!R$4:R$23,MATCH(A15,'Employee Master'!A$4:A$23,0)),0),2)</f>
        <v>189.23</v>
      </c>
      <c r="W15" s="133">
        <f>IFERROR(INDEX('Employee Master'!S$4:S$23,MATCH(A15,'Employee Master'!A$4:A$23,0))/26,0)</f>
        <v>0.96153846153846156</v>
      </c>
      <c r="X15" s="133">
        <f t="shared" si="4"/>
        <v>225.19153846153844</v>
      </c>
      <c r="Y15" s="133">
        <f t="shared" si="5"/>
        <v>2054.1192307692309</v>
      </c>
    </row>
    <row r="16" spans="1:25" ht="18" customHeight="1" x14ac:dyDescent="0.3">
      <c r="A16" s="99" t="s">
        <v>279</v>
      </c>
      <c r="B16" s="128" t="str">
        <f>INDEX('Employee Master'!B$4:B$23,MATCH(A16,'Employee Master'!A$4:A$23,0))</f>
        <v>Thomas</v>
      </c>
      <c r="C16" s="128" t="str">
        <f>INDEX('Employee Master'!C$4:C$23,MATCH(A16,'Employee Master'!A$4:A$23,0))</f>
        <v>Brian</v>
      </c>
      <c r="D16" s="128" t="str">
        <f>INDEX('Employee Master'!E$4:E$23,MATCH(A16,'Employee Master'!A$4:A$23,0))</f>
        <v>Information Technology</v>
      </c>
      <c r="E16" s="99" t="str">
        <f>INDEX('Employee Master'!G$4:G$23,MATCH(A16,'Employee Master'!A$4:A$23,0))</f>
        <v>Salary</v>
      </c>
      <c r="F16" s="129">
        <v>80</v>
      </c>
      <c r="G16" s="129">
        <v>6</v>
      </c>
      <c r="H16" s="129">
        <v>0</v>
      </c>
      <c r="I16" s="130">
        <f>IF(E16="Salary",INDEX('Employee Master'!I$4:I$23,MATCH(A16,'Employee Master'!A$4:A$23,0))/26,INDEX('Employee Master'!J$4:J$23,MATCH(A16,'Employee Master'!A$4:A$23,0))*F16)</f>
        <v>3384.6153846153848</v>
      </c>
      <c r="J16" s="130">
        <f>IF(E16="Hourly",INDEX('Employee Master'!J$4:J$23,MATCH(A16,'Employee Master'!A$4:A$23,0))*G16*0.5,0)</f>
        <v>0</v>
      </c>
      <c r="K16" s="130">
        <f>IF(E16="Hourly",INDEX('Employee Master'!J$4:J$23,MATCH(A16,'Employee Master'!A$4:A$23,0))*H16,0)</f>
        <v>0</v>
      </c>
      <c r="L16" s="130">
        <v>0</v>
      </c>
      <c r="M16" s="130">
        <f t="shared" si="0"/>
        <v>3384.6153846153848</v>
      </c>
      <c r="N16" s="130">
        <f>IFERROR(IF(INDEX('Employee Master'!L$4:L$23,MATCH(A16,'Employee Master'!A$4:A$23,0))="MFJ",IF((M16*26)&lt;=14600,(M16*26)*0.1,IF((M16*26)&lt;=57750,1460+((M16*26)-14600)*0.12,IF((M16*26)&lt;=113600,6628+((M16*26)-57750)*0.22,IF((M16*26)&lt;=225600,18914+((M16*26)-113600)*0.24,IF((M16*26)&lt;=537550,45794+((M16*26)-225600)*0.32,IF((M16*26)&lt;=643450,145538+((M16*26)-537550)*0.35,182648+((M16*26)-643450)*0.37))))))/26,IF((M16*26)&lt;=7300,(M16*26)*0.1,IF((M16*26)&lt;=28875,730+((M16*26)-7300)*0.12,IF((M16*26)&lt;=56875,3319+((M16*26)-28875)*0.22,IF((M16*26)&lt;=112875,9479+((M16*26)-56875)*0.24,IF((M16*26)&lt;=268850,23009+((M16*26)-112875)*0.32,IF((M16*26)&lt;=321800,72937+((M16*26)-268850)*0.35,91487+((M16*26)-321800)*0.37))))))/26),0)</f>
        <v>651.88461538461536</v>
      </c>
      <c r="O16" s="130">
        <f t="shared" si="1"/>
        <v>209.85</v>
      </c>
      <c r="P16" s="130">
        <f t="shared" si="2"/>
        <v>49.08</v>
      </c>
      <c r="Q16" s="130">
        <f>ROUND(M16*INDEX('Employee Master'!N$4:N$23,MATCH(A16,'Employee Master'!A$4:A$23,0)),2)</f>
        <v>185.82</v>
      </c>
      <c r="R16" s="130">
        <f t="shared" si="3"/>
        <v>1096.6346153846155</v>
      </c>
      <c r="S16" s="130">
        <f>IFERROR(INDEX('Employee Master'!O$4:O$23,MATCH(A16,'Employee Master'!A$4:A$23,0))/26,0)</f>
        <v>21.153846153846153</v>
      </c>
      <c r="T16" s="130">
        <f>IFERROR(INDEX('Employee Master'!P$4:P$23,MATCH(A16,'Employee Master'!A$4:A$23,0))/26,0)</f>
        <v>1.7307692307692308</v>
      </c>
      <c r="U16" s="130">
        <f>IFERROR(INDEX('Employee Master'!Q$4:Q$23,MATCH(A16,'Employee Master'!A$4:A$23,0))/26,0)</f>
        <v>0.57692307692307687</v>
      </c>
      <c r="V16" s="130">
        <f>ROUND(M16*IFERROR(INDEX('Employee Master'!R$4:R$23,MATCH(A16,'Employee Master'!A$4:A$23,0)),0),2)</f>
        <v>203.08</v>
      </c>
      <c r="W16" s="130">
        <f>IFERROR(INDEX('Employee Master'!S$4:S$23,MATCH(A16,'Employee Master'!A$4:A$23,0))/26,0)</f>
        <v>0.96153846153846156</v>
      </c>
      <c r="X16" s="130">
        <f t="shared" si="4"/>
        <v>227.50307692307692</v>
      </c>
      <c r="Y16" s="130">
        <f t="shared" si="5"/>
        <v>2060.4776923076925</v>
      </c>
    </row>
    <row r="17" spans="1:25" ht="18" customHeight="1" x14ac:dyDescent="0.3">
      <c r="A17" s="91" t="s">
        <v>280</v>
      </c>
      <c r="B17" s="131" t="str">
        <f>INDEX('Employee Master'!B$4:B$23,MATCH(A17,'Employee Master'!A$4:A$23,0))</f>
        <v>Jackson</v>
      </c>
      <c r="C17" s="131" t="str">
        <f>INDEX('Employee Master'!C$4:C$23,MATCH(A17,'Employee Master'!A$4:A$23,0))</f>
        <v>Nicole</v>
      </c>
      <c r="D17" s="131" t="str">
        <f>INDEX('Employee Master'!E$4:E$23,MATCH(A17,'Employee Master'!A$4:A$23,0))</f>
        <v>Information Technology</v>
      </c>
      <c r="E17" s="91" t="str">
        <f>INDEX('Employee Master'!G$4:G$23,MATCH(A17,'Employee Master'!A$4:A$23,0))</f>
        <v>Hourly</v>
      </c>
      <c r="F17" s="132">
        <v>72</v>
      </c>
      <c r="G17" s="132">
        <v>0</v>
      </c>
      <c r="H17" s="132">
        <v>0</v>
      </c>
      <c r="I17" s="133">
        <f>IF(E17="Salary",INDEX('Employee Master'!I$4:I$23,MATCH(A17,'Employee Master'!A$4:A$23,0))/26,INDEX('Employee Master'!J$4:J$23,MATCH(A17,'Employee Master'!A$4:A$23,0))*F17)</f>
        <v>1512</v>
      </c>
      <c r="J17" s="133">
        <f>IF(E17="Hourly",INDEX('Employee Master'!J$4:J$23,MATCH(A17,'Employee Master'!A$4:A$23,0))*G17*0.5,0)</f>
        <v>0</v>
      </c>
      <c r="K17" s="133">
        <f>IF(E17="Hourly",INDEX('Employee Master'!J$4:J$23,MATCH(A17,'Employee Master'!A$4:A$23,0))*H17,0)</f>
        <v>0</v>
      </c>
      <c r="L17" s="133">
        <v>0</v>
      </c>
      <c r="M17" s="133">
        <f t="shared" si="0"/>
        <v>1512</v>
      </c>
      <c r="N17" s="133">
        <f>IFERROR(IF(INDEX('Employee Master'!L$4:L$23,MATCH(A17,'Employee Master'!A$4:A$23,0))="MFJ",IF((M17*26)&lt;=14600,(M17*26)*0.1,IF((M17*26)&lt;=57750,1460+((M17*26)-14600)*0.12,IF((M17*26)&lt;=113600,6628+((M17*26)-57750)*0.22,IF((M17*26)&lt;=225600,18914+((M17*26)-113600)*0.24,IF((M17*26)&lt;=537550,45794+((M17*26)-225600)*0.32,IF((M17*26)&lt;=643450,145538+((M17*26)-537550)*0.35,182648+((M17*26)-643450)*0.37))))))/26,IF((M17*26)&lt;=7300,(M17*26)*0.1,IF((M17*26)&lt;=28875,730+((M17*26)-7300)*0.12,IF((M17*26)&lt;=56875,3319+((M17*26)-28875)*0.22,IF((M17*26)&lt;=112875,9479+((M17*26)-56875)*0.24,IF((M17*26)&lt;=268850,23009+((M17*26)-112875)*0.32,IF((M17*26)&lt;=321800,72937+((M17*26)-268850)*0.35,91487+((M17*26)-321800)*0.37))))))/26),0)</f>
        <v>215.96692307692305</v>
      </c>
      <c r="O17" s="133">
        <f t="shared" si="1"/>
        <v>93.74</v>
      </c>
      <c r="P17" s="133">
        <f t="shared" si="2"/>
        <v>21.92</v>
      </c>
      <c r="Q17" s="133">
        <f>ROUND(M17*INDEX('Employee Master'!N$4:N$23,MATCH(A17,'Employee Master'!A$4:A$23,0)),2)</f>
        <v>83.01</v>
      </c>
      <c r="R17" s="133">
        <f t="shared" si="3"/>
        <v>414.63692307692304</v>
      </c>
      <c r="S17" s="133">
        <f>IFERROR(INDEX('Employee Master'!O$4:O$23,MATCH(A17,'Employee Master'!A$4:A$23,0))/26,0)</f>
        <v>11.346153846153847</v>
      </c>
      <c r="T17" s="133">
        <f>IFERROR(INDEX('Employee Master'!P$4:P$23,MATCH(A17,'Employee Master'!A$4:A$23,0))/26,0)</f>
        <v>1.7307692307692308</v>
      </c>
      <c r="U17" s="133">
        <f>IFERROR(INDEX('Employee Master'!Q$4:Q$23,MATCH(A17,'Employee Master'!A$4:A$23,0))/26,0)</f>
        <v>0</v>
      </c>
      <c r="V17" s="133">
        <f>ROUND(M17*IFERROR(INDEX('Employee Master'!R$4:R$23,MATCH(A17,'Employee Master'!A$4:A$23,0)),0),2)</f>
        <v>30.24</v>
      </c>
      <c r="W17" s="133">
        <f>IFERROR(INDEX('Employee Master'!S$4:S$23,MATCH(A17,'Employee Master'!A$4:A$23,0))/26,0)</f>
        <v>0.96153846153846156</v>
      </c>
      <c r="X17" s="133">
        <f t="shared" si="4"/>
        <v>44.278461538461535</v>
      </c>
      <c r="Y17" s="133">
        <f t="shared" si="5"/>
        <v>1053.0846153846155</v>
      </c>
    </row>
    <row r="18" spans="1:25" ht="18" customHeight="1" x14ac:dyDescent="0.3">
      <c r="A18" s="99" t="s">
        <v>281</v>
      </c>
      <c r="B18" s="128" t="str">
        <f>INDEX('Employee Master'!B$4:B$23,MATCH(A18,'Employee Master'!A$4:A$23,0))</f>
        <v>White</v>
      </c>
      <c r="C18" s="128" t="str">
        <f>INDEX('Employee Master'!C$4:C$23,MATCH(A18,'Employee Master'!A$4:A$23,0))</f>
        <v>Christopher</v>
      </c>
      <c r="D18" s="128" t="str">
        <f>INDEX('Employee Master'!E$4:E$23,MATCH(A18,'Employee Master'!A$4:A$23,0))</f>
        <v>Sales</v>
      </c>
      <c r="E18" s="99" t="str">
        <f>INDEX('Employee Master'!G$4:G$23,MATCH(A18,'Employee Master'!A$4:A$23,0))</f>
        <v>Salary</v>
      </c>
      <c r="F18" s="129">
        <v>80</v>
      </c>
      <c r="G18" s="129">
        <v>0</v>
      </c>
      <c r="H18" s="129">
        <v>0</v>
      </c>
      <c r="I18" s="130">
        <f>IF(E18="Salary",INDEX('Employee Master'!I$4:I$23,MATCH(A18,'Employee Master'!A$4:A$23,0))/26,INDEX('Employee Master'!J$4:J$23,MATCH(A18,'Employee Master'!A$4:A$23,0))*F18)</f>
        <v>5307.6923076923076</v>
      </c>
      <c r="J18" s="130">
        <f>IF(E18="Hourly",INDEX('Employee Master'!J$4:J$23,MATCH(A18,'Employee Master'!A$4:A$23,0))*G18*0.5,0)</f>
        <v>0</v>
      </c>
      <c r="K18" s="130">
        <f>IF(E18="Hourly",INDEX('Employee Master'!J$4:J$23,MATCH(A18,'Employee Master'!A$4:A$23,0))*H18,0)</f>
        <v>0</v>
      </c>
      <c r="L18" s="130">
        <v>2500</v>
      </c>
      <c r="M18" s="130">
        <f t="shared" si="0"/>
        <v>7807.6923076923076</v>
      </c>
      <c r="N18" s="130">
        <f>IFERROR(IF(INDEX('Employee Master'!L$4:L$23,MATCH(A18,'Employee Master'!A$4:A$23,0))="MFJ",IF((M18*26)&lt;=14600,(M18*26)*0.1,IF((M18*26)&lt;=57750,1460+((M18*26)-14600)*0.12,IF((M18*26)&lt;=113600,6628+((M18*26)-57750)*0.22,IF((M18*26)&lt;=225600,18914+((M18*26)-113600)*0.24,IF((M18*26)&lt;=537550,45794+((M18*26)-225600)*0.32,IF((M18*26)&lt;=643450,145538+((M18*26)-537550)*0.35,182648+((M18*26)-643450)*0.37))))))/26,IF((M18*26)&lt;=7300,(M18*26)*0.1,IF((M18*26)&lt;=28875,730+((M18*26)-7300)*0.12,IF((M18*26)&lt;=56875,3319+((M18*26)-28875)*0.22,IF((M18*26)&lt;=112875,9479+((M18*26)-56875)*0.24,IF((M18*26)&lt;=268850,23009+((M18*26)-112875)*0.32,IF((M18*26)&lt;=321800,72937+((M18*26)-268850)*0.35,91487+((M18*26)-321800)*0.37))))))/26),0)</f>
        <v>1552.6923076923076</v>
      </c>
      <c r="O18" s="130">
        <f t="shared" si="1"/>
        <v>484.08</v>
      </c>
      <c r="P18" s="130">
        <f t="shared" si="2"/>
        <v>113.21</v>
      </c>
      <c r="Q18" s="130">
        <f>ROUND(M18*INDEX('Employee Master'!N$4:N$23,MATCH(A18,'Employee Master'!A$4:A$23,0)),2)</f>
        <v>428.64</v>
      </c>
      <c r="R18" s="130">
        <f t="shared" si="3"/>
        <v>2578.6223076923075</v>
      </c>
      <c r="S18" s="130">
        <f>IFERROR(INDEX('Employee Master'!O$4:O$23,MATCH(A18,'Employee Master'!A$4:A$23,0))/26,0)</f>
        <v>32.692307692307693</v>
      </c>
      <c r="T18" s="130">
        <f>IFERROR(INDEX('Employee Master'!P$4:P$23,MATCH(A18,'Employee Master'!A$4:A$23,0))/26,0)</f>
        <v>1.7307692307692308</v>
      </c>
      <c r="U18" s="130">
        <f>IFERROR(INDEX('Employee Master'!Q$4:Q$23,MATCH(A18,'Employee Master'!A$4:A$23,0))/26,0)</f>
        <v>0.57692307692307687</v>
      </c>
      <c r="V18" s="130">
        <f>ROUND(M18*IFERROR(INDEX('Employee Master'!R$4:R$23,MATCH(A18,'Employee Master'!A$4:A$23,0)),0),2)</f>
        <v>780.77</v>
      </c>
      <c r="W18" s="130">
        <f>IFERROR(INDEX('Employee Master'!S$4:S$23,MATCH(A18,'Employee Master'!A$4:A$23,0))/26,0)</f>
        <v>0.96153846153846156</v>
      </c>
      <c r="X18" s="130">
        <f t="shared" si="4"/>
        <v>816.73153846153843</v>
      </c>
      <c r="Y18" s="130">
        <f t="shared" si="5"/>
        <v>4412.3384615384612</v>
      </c>
    </row>
    <row r="19" spans="1:25" ht="18" customHeight="1" x14ac:dyDescent="0.3">
      <c r="A19" s="91" t="s">
        <v>282</v>
      </c>
      <c r="B19" s="131" t="str">
        <f>INDEX('Employee Master'!B$4:B$23,MATCH(A19,'Employee Master'!A$4:A$23,0))</f>
        <v>Harris</v>
      </c>
      <c r="C19" s="131" t="str">
        <f>INDEX('Employee Master'!C$4:C$23,MATCH(A19,'Employee Master'!A$4:A$23,0))</f>
        <v>Megan</v>
      </c>
      <c r="D19" s="131" t="str">
        <f>INDEX('Employee Master'!E$4:E$23,MATCH(A19,'Employee Master'!A$4:A$23,0))</f>
        <v>Sales</v>
      </c>
      <c r="E19" s="91" t="str">
        <f>INDEX('Employee Master'!G$4:G$23,MATCH(A19,'Employee Master'!A$4:A$23,0))</f>
        <v>Salary</v>
      </c>
      <c r="F19" s="132">
        <v>80</v>
      </c>
      <c r="G19" s="132">
        <v>0</v>
      </c>
      <c r="H19" s="132">
        <v>0</v>
      </c>
      <c r="I19" s="133">
        <f>IF(E19="Salary",INDEX('Employee Master'!I$4:I$23,MATCH(A19,'Employee Master'!A$4:A$23,0))/26,INDEX('Employee Master'!J$4:J$23,MATCH(A19,'Employee Master'!A$4:A$23,0))*F19)</f>
        <v>2846.1538461538462</v>
      </c>
      <c r="J19" s="133">
        <f>IF(E19="Hourly",INDEX('Employee Master'!J$4:J$23,MATCH(A19,'Employee Master'!A$4:A$23,0))*G19*0.5,0)</f>
        <v>0</v>
      </c>
      <c r="K19" s="133">
        <f>IF(E19="Hourly",INDEX('Employee Master'!J$4:J$23,MATCH(A19,'Employee Master'!A$4:A$23,0))*H19,0)</f>
        <v>0</v>
      </c>
      <c r="L19" s="133">
        <v>1200</v>
      </c>
      <c r="M19" s="133">
        <f t="shared" si="0"/>
        <v>4046.1538461538462</v>
      </c>
      <c r="N19" s="133">
        <f>IFERROR(IF(INDEX('Employee Master'!L$4:L$23,MATCH(A19,'Employee Master'!A$4:A$23,0))="MFJ",IF((M19*26)&lt;=14600,(M19*26)*0.1,IF((M19*26)&lt;=57750,1460+((M19*26)-14600)*0.12,IF((M19*26)&lt;=113600,6628+((M19*26)-57750)*0.22,IF((M19*26)&lt;=225600,18914+((M19*26)-113600)*0.24,IF((M19*26)&lt;=537550,45794+((M19*26)-225600)*0.32,IF((M19*26)&lt;=643450,145538+((M19*26)-537550)*0.35,182648+((M19*26)-643450)*0.37))))))/26,IF((M19*26)&lt;=7300,(M19*26)*0.1,IF((M19*26)&lt;=28875,730+((M19*26)-7300)*0.12,IF((M19*26)&lt;=56875,3319+((M19*26)-28875)*0.22,IF((M19*26)&lt;=112875,9479+((M19*26)-56875)*0.24,IF((M19*26)&lt;=268850,23009+((M19*26)-112875)*0.32,IF((M19*26)&lt;=321800,72937+((M19*26)-268850)*0.35,91487+((M19*26)-321800)*0.37))))))/26),0)</f>
        <v>656.42307692307691</v>
      </c>
      <c r="O19" s="133">
        <f t="shared" si="1"/>
        <v>250.86</v>
      </c>
      <c r="P19" s="133">
        <f t="shared" si="2"/>
        <v>58.67</v>
      </c>
      <c r="Q19" s="133">
        <f>ROUND(M19*INDEX('Employee Master'!N$4:N$23,MATCH(A19,'Employee Master'!A$4:A$23,0)),2)</f>
        <v>222.13</v>
      </c>
      <c r="R19" s="133">
        <f t="shared" si="3"/>
        <v>1188.083076923077</v>
      </c>
      <c r="S19" s="133">
        <f>IFERROR(INDEX('Employee Master'!O$4:O$23,MATCH(A19,'Employee Master'!A$4:A$23,0))/26,0)</f>
        <v>32.692307692307693</v>
      </c>
      <c r="T19" s="133">
        <f>IFERROR(INDEX('Employee Master'!P$4:P$23,MATCH(A19,'Employee Master'!A$4:A$23,0))/26,0)</f>
        <v>1.7307692307692308</v>
      </c>
      <c r="U19" s="133">
        <f>IFERROR(INDEX('Employee Master'!Q$4:Q$23,MATCH(A19,'Employee Master'!A$4:A$23,0))/26,0)</f>
        <v>0.57692307692307687</v>
      </c>
      <c r="V19" s="133">
        <f>ROUND(M19*IFERROR(INDEX('Employee Master'!R$4:R$23,MATCH(A19,'Employee Master'!A$4:A$23,0)),0),2)</f>
        <v>202.31</v>
      </c>
      <c r="W19" s="133">
        <f>IFERROR(INDEX('Employee Master'!S$4:S$23,MATCH(A19,'Employee Master'!A$4:A$23,0))/26,0)</f>
        <v>0.96153846153846156</v>
      </c>
      <c r="X19" s="133">
        <f t="shared" si="4"/>
        <v>238.27153846153846</v>
      </c>
      <c r="Y19" s="133">
        <f t="shared" si="5"/>
        <v>2619.7992307692307</v>
      </c>
    </row>
    <row r="20" spans="1:25" ht="18" customHeight="1" x14ac:dyDescent="0.3">
      <c r="A20" s="99" t="s">
        <v>283</v>
      </c>
      <c r="B20" s="128" t="str">
        <f>INDEX('Employee Master'!B$4:B$23,MATCH(A20,'Employee Master'!A$4:A$23,0))</f>
        <v>Martin</v>
      </c>
      <c r="C20" s="128" t="str">
        <f>INDEX('Employee Master'!C$4:C$23,MATCH(A20,'Employee Master'!A$4:A$23,0))</f>
        <v>Tyler</v>
      </c>
      <c r="D20" s="128" t="str">
        <f>INDEX('Employee Master'!E$4:E$23,MATCH(A20,'Employee Master'!A$4:A$23,0))</f>
        <v>Sales</v>
      </c>
      <c r="E20" s="99" t="str">
        <f>INDEX('Employee Master'!G$4:G$23,MATCH(A20,'Employee Master'!A$4:A$23,0))</f>
        <v>Salary</v>
      </c>
      <c r="F20" s="129">
        <v>80</v>
      </c>
      <c r="G20" s="129">
        <v>0</v>
      </c>
      <c r="H20" s="129">
        <v>0</v>
      </c>
      <c r="I20" s="130">
        <f>IF(E20="Salary",INDEX('Employee Master'!I$4:I$23,MATCH(A20,'Employee Master'!A$4:A$23,0))/26,INDEX('Employee Master'!J$4:J$23,MATCH(A20,'Employee Master'!A$4:A$23,0))*F20)</f>
        <v>2384.6153846153848</v>
      </c>
      <c r="J20" s="130">
        <f>IF(E20="Hourly",INDEX('Employee Master'!J$4:J$23,MATCH(A20,'Employee Master'!A$4:A$23,0))*G20*0.5,0)</f>
        <v>0</v>
      </c>
      <c r="K20" s="130">
        <f>IF(E20="Hourly",INDEX('Employee Master'!J$4:J$23,MATCH(A20,'Employee Master'!A$4:A$23,0))*H20,0)</f>
        <v>0</v>
      </c>
      <c r="L20" s="130">
        <v>800</v>
      </c>
      <c r="M20" s="130">
        <f t="shared" si="0"/>
        <v>3184.6153846153848</v>
      </c>
      <c r="N20" s="130">
        <f>IFERROR(IF(INDEX('Employee Master'!L$4:L$23,MATCH(A20,'Employee Master'!A$4:A$23,0))="MFJ",IF((M20*26)&lt;=14600,(M20*26)*0.1,IF((M20*26)&lt;=57750,1460+((M20*26)-14600)*0.12,IF((M20*26)&lt;=113600,6628+((M20*26)-57750)*0.22,IF((M20*26)&lt;=225600,18914+((M20*26)-113600)*0.24,IF((M20*26)&lt;=537550,45794+((M20*26)-225600)*0.32,IF((M20*26)&lt;=643450,145538+((M20*26)-537550)*0.35,182648+((M20*26)-643450)*0.37))))))/26,IF((M20*26)&lt;=7300,(M20*26)*0.1,IF((M20*26)&lt;=28875,730+((M20*26)-7300)*0.12,IF((M20*26)&lt;=56875,3319+((M20*26)-28875)*0.22,IF((M20*26)&lt;=112875,9479+((M20*26)-56875)*0.24,IF((M20*26)&lt;=268850,23009+((M20*26)-112875)*0.32,IF((M20*26)&lt;=321800,72937+((M20*26)-268850)*0.35,91487+((M20*26)-321800)*0.37))))))/26),0)</f>
        <v>603.88461538461536</v>
      </c>
      <c r="O20" s="130">
        <f t="shared" si="1"/>
        <v>197.45</v>
      </c>
      <c r="P20" s="130">
        <f t="shared" si="2"/>
        <v>46.18</v>
      </c>
      <c r="Q20" s="130">
        <f>ROUND(M20*INDEX('Employee Master'!N$4:N$23,MATCH(A20,'Employee Master'!A$4:A$23,0)),2)</f>
        <v>174.84</v>
      </c>
      <c r="R20" s="130">
        <f t="shared" si="3"/>
        <v>1022.3546153846153</v>
      </c>
      <c r="S20" s="130">
        <f>IFERROR(INDEX('Employee Master'!O$4:O$23,MATCH(A20,'Employee Master'!A$4:A$23,0))/26,0)</f>
        <v>11.346153846153847</v>
      </c>
      <c r="T20" s="130">
        <f>IFERROR(INDEX('Employee Master'!P$4:P$23,MATCH(A20,'Employee Master'!A$4:A$23,0))/26,0)</f>
        <v>1.7307692307692308</v>
      </c>
      <c r="U20" s="130">
        <f>IFERROR(INDEX('Employee Master'!Q$4:Q$23,MATCH(A20,'Employee Master'!A$4:A$23,0))/26,0)</f>
        <v>0.57692307692307687</v>
      </c>
      <c r="V20" s="130">
        <f>ROUND(M20*IFERROR(INDEX('Employee Master'!R$4:R$23,MATCH(A20,'Employee Master'!A$4:A$23,0)),0),2)</f>
        <v>127.38</v>
      </c>
      <c r="W20" s="130">
        <f>IFERROR(INDEX('Employee Master'!S$4:S$23,MATCH(A20,'Employee Master'!A$4:A$23,0))/26,0)</f>
        <v>0.96153846153846156</v>
      </c>
      <c r="X20" s="130">
        <f t="shared" si="4"/>
        <v>141.99538461538461</v>
      </c>
      <c r="Y20" s="130">
        <f t="shared" si="5"/>
        <v>2020.2653846153846</v>
      </c>
    </row>
    <row r="21" spans="1:25" ht="18" customHeight="1" x14ac:dyDescent="0.3">
      <c r="A21" s="91" t="s">
        <v>284</v>
      </c>
      <c r="B21" s="131" t="str">
        <f>INDEX('Employee Master'!B$4:B$23,MATCH(A21,'Employee Master'!A$4:A$23,0))</f>
        <v>Thompson</v>
      </c>
      <c r="C21" s="131" t="str">
        <f>INDEX('Employee Master'!C$4:C$23,MATCH(A21,'Employee Master'!A$4:A$23,0))</f>
        <v>Ashley</v>
      </c>
      <c r="D21" s="131" t="str">
        <f>INDEX('Employee Master'!E$4:E$23,MATCH(A21,'Employee Master'!A$4:A$23,0))</f>
        <v>Sales</v>
      </c>
      <c r="E21" s="91" t="str">
        <f>INDEX('Employee Master'!G$4:G$23,MATCH(A21,'Employee Master'!A$4:A$23,0))</f>
        <v>Hourly</v>
      </c>
      <c r="F21" s="132">
        <v>75</v>
      </c>
      <c r="G21" s="132">
        <v>0</v>
      </c>
      <c r="H21" s="132">
        <v>0</v>
      </c>
      <c r="I21" s="133">
        <f>IF(E21="Salary",INDEX('Employee Master'!I$4:I$23,MATCH(A21,'Employee Master'!A$4:A$23,0))/26,INDEX('Employee Master'!J$4:J$23,MATCH(A21,'Employee Master'!A$4:A$23,0))*F21)</f>
        <v>1387.5</v>
      </c>
      <c r="J21" s="133">
        <f>IF(E21="Hourly",INDEX('Employee Master'!J$4:J$23,MATCH(A21,'Employee Master'!A$4:A$23,0))*G21*0.5,0)</f>
        <v>0</v>
      </c>
      <c r="K21" s="133">
        <f>IF(E21="Hourly",INDEX('Employee Master'!J$4:J$23,MATCH(A21,'Employee Master'!A$4:A$23,0))*H21,0)</f>
        <v>0</v>
      </c>
      <c r="L21" s="133">
        <v>0</v>
      </c>
      <c r="M21" s="133">
        <f t="shared" si="0"/>
        <v>1387.5</v>
      </c>
      <c r="N21" s="133">
        <f>IFERROR(IF(INDEX('Employee Master'!L$4:L$23,MATCH(A21,'Employee Master'!A$4:A$23,0))="MFJ",IF((M21*26)&lt;=14600,(M21*26)*0.1,IF((M21*26)&lt;=57750,1460+((M21*26)-14600)*0.12,IF((M21*26)&lt;=113600,6628+((M21*26)-57750)*0.22,IF((M21*26)&lt;=225600,18914+((M21*26)-113600)*0.24,IF((M21*26)&lt;=537550,45794+((M21*26)-225600)*0.32,IF((M21*26)&lt;=643450,145538+((M21*26)-537550)*0.35,182648+((M21*26)-643450)*0.37))))))/26,IF((M21*26)&lt;=7300,(M21*26)*0.1,IF((M21*26)&lt;=28875,730+((M21*26)-7300)*0.12,IF((M21*26)&lt;=56875,3319+((M21*26)-28875)*0.22,IF((M21*26)&lt;=112875,9479+((M21*26)-56875)*0.24,IF((M21*26)&lt;=268850,23009+((M21*26)-112875)*0.32,IF((M21*26)&lt;=321800,72937+((M21*26)-268850)*0.35,91487+((M21*26)-321800)*0.37))))))/26),0)</f>
        <v>188.57692307692307</v>
      </c>
      <c r="O21" s="133">
        <f t="shared" si="1"/>
        <v>86.03</v>
      </c>
      <c r="P21" s="133">
        <f t="shared" si="2"/>
        <v>20.12</v>
      </c>
      <c r="Q21" s="133">
        <f>ROUND(M21*INDEX('Employee Master'!N$4:N$23,MATCH(A21,'Employee Master'!A$4:A$23,0)),2)</f>
        <v>76.17</v>
      </c>
      <c r="R21" s="133">
        <f t="shared" si="3"/>
        <v>370.89692307692309</v>
      </c>
      <c r="S21" s="133">
        <f>IFERROR(INDEX('Employee Master'!O$4:O$23,MATCH(A21,'Employee Master'!A$4:A$23,0))/26,0)</f>
        <v>11.346153846153847</v>
      </c>
      <c r="T21" s="133">
        <f>IFERROR(INDEX('Employee Master'!P$4:P$23,MATCH(A21,'Employee Master'!A$4:A$23,0))/26,0)</f>
        <v>1.7307692307692308</v>
      </c>
      <c r="U21" s="133">
        <f>IFERROR(INDEX('Employee Master'!Q$4:Q$23,MATCH(A21,'Employee Master'!A$4:A$23,0))/26,0)</f>
        <v>0</v>
      </c>
      <c r="V21" s="133">
        <f>ROUND(M21*IFERROR(INDEX('Employee Master'!R$4:R$23,MATCH(A21,'Employee Master'!A$4:A$23,0)),0),2)</f>
        <v>0</v>
      </c>
      <c r="W21" s="133">
        <f>IFERROR(INDEX('Employee Master'!S$4:S$23,MATCH(A21,'Employee Master'!A$4:A$23,0))/26,0)</f>
        <v>0.96153846153846156</v>
      </c>
      <c r="X21" s="133">
        <f t="shared" si="4"/>
        <v>14.038461538461538</v>
      </c>
      <c r="Y21" s="133">
        <f t="shared" si="5"/>
        <v>1002.5646153846154</v>
      </c>
    </row>
    <row r="22" spans="1:25" ht="18" customHeight="1" x14ac:dyDescent="0.3">
      <c r="A22" s="99" t="s">
        <v>285</v>
      </c>
      <c r="B22" s="128" t="str">
        <f>INDEX('Employee Master'!B$4:B$23,MATCH(A22,'Employee Master'!A$4:A$23,0))</f>
        <v>Garcia</v>
      </c>
      <c r="C22" s="128" t="str">
        <f>INDEX('Employee Master'!C$4:C$23,MATCH(A22,'Employee Master'!A$4:A$23,0))</f>
        <v>Marcus</v>
      </c>
      <c r="D22" s="128" t="str">
        <f>INDEX('Employee Master'!E$4:E$23,MATCH(A22,'Employee Master'!A$4:A$23,0))</f>
        <v>Marketing</v>
      </c>
      <c r="E22" s="99" t="str">
        <f>INDEX('Employee Master'!G$4:G$23,MATCH(A22,'Employee Master'!A$4:A$23,0))</f>
        <v>Salary</v>
      </c>
      <c r="F22" s="129">
        <v>80</v>
      </c>
      <c r="G22" s="129">
        <v>0</v>
      </c>
      <c r="H22" s="129">
        <v>0</v>
      </c>
      <c r="I22" s="130">
        <f>IF(E22="Salary",INDEX('Employee Master'!I$4:I$23,MATCH(A22,'Employee Master'!A$4:A$23,0))/26,INDEX('Employee Master'!J$4:J$23,MATCH(A22,'Employee Master'!A$4:A$23,0))*F22)</f>
        <v>4153.8461538461543</v>
      </c>
      <c r="J22" s="130">
        <f>IF(E22="Hourly",INDEX('Employee Master'!J$4:J$23,MATCH(A22,'Employee Master'!A$4:A$23,0))*G22*0.5,0)</f>
        <v>0</v>
      </c>
      <c r="K22" s="130">
        <f>IF(E22="Hourly",INDEX('Employee Master'!J$4:J$23,MATCH(A22,'Employee Master'!A$4:A$23,0))*H22,0)</f>
        <v>0</v>
      </c>
      <c r="L22" s="130">
        <v>0</v>
      </c>
      <c r="M22" s="130">
        <f t="shared" si="0"/>
        <v>4153.8461538461543</v>
      </c>
      <c r="N22" s="130">
        <f>IFERROR(IF(INDEX('Employee Master'!L$4:L$23,MATCH(A22,'Employee Master'!A$4:A$23,0))="MFJ",IF((M22*26)&lt;=14600,(M22*26)*0.1,IF((M22*26)&lt;=57750,1460+((M22*26)-14600)*0.12,IF((M22*26)&lt;=113600,6628+((M22*26)-57750)*0.22,IF((M22*26)&lt;=225600,18914+((M22*26)-113600)*0.24,IF((M22*26)&lt;=537550,45794+((M22*26)-225600)*0.32,IF((M22*26)&lt;=643450,145538+((M22*26)-537550)*0.35,182648+((M22*26)-643450)*0.37))))))/26,IF((M22*26)&lt;=7300,(M22*26)*0.1,IF((M22*26)&lt;=28875,730+((M22*26)-7300)*0.12,IF((M22*26)&lt;=56875,3319+((M22*26)-28875)*0.22,IF((M22*26)&lt;=112875,9479+((M22*26)-56875)*0.24,IF((M22*26)&lt;=268850,23009+((M22*26)-112875)*0.32,IF((M22*26)&lt;=321800,72937+((M22*26)-268850)*0.35,91487+((M22*26)-321800)*0.37))))))/26),0)</f>
        <v>680.11538461538476</v>
      </c>
      <c r="O22" s="130">
        <f t="shared" si="1"/>
        <v>257.54000000000002</v>
      </c>
      <c r="P22" s="130">
        <f t="shared" si="2"/>
        <v>60.23</v>
      </c>
      <c r="Q22" s="130">
        <f>ROUND(M22*INDEX('Employee Master'!N$4:N$23,MATCH(A22,'Employee Master'!A$4:A$23,0)),2)</f>
        <v>228.05</v>
      </c>
      <c r="R22" s="130">
        <f t="shared" si="3"/>
        <v>1225.9353846153847</v>
      </c>
      <c r="S22" s="130">
        <f>IFERROR(INDEX('Employee Master'!O$4:O$23,MATCH(A22,'Employee Master'!A$4:A$23,0))/26,0)</f>
        <v>32.692307692307693</v>
      </c>
      <c r="T22" s="130">
        <f>IFERROR(INDEX('Employee Master'!P$4:P$23,MATCH(A22,'Employee Master'!A$4:A$23,0))/26,0)</f>
        <v>1.7307692307692308</v>
      </c>
      <c r="U22" s="130">
        <f>IFERROR(INDEX('Employee Master'!Q$4:Q$23,MATCH(A22,'Employee Master'!A$4:A$23,0))/26,0)</f>
        <v>0.57692307692307687</v>
      </c>
      <c r="V22" s="130">
        <f>ROUND(M22*IFERROR(INDEX('Employee Master'!R$4:R$23,MATCH(A22,'Employee Master'!A$4:A$23,0)),0),2)</f>
        <v>332.31</v>
      </c>
      <c r="W22" s="130">
        <f>IFERROR(INDEX('Employee Master'!S$4:S$23,MATCH(A22,'Employee Master'!A$4:A$23,0))/26,0)</f>
        <v>0.96153846153846156</v>
      </c>
      <c r="X22" s="130">
        <f t="shared" si="4"/>
        <v>368.27153846153846</v>
      </c>
      <c r="Y22" s="130">
        <f t="shared" si="5"/>
        <v>2559.6392307692313</v>
      </c>
    </row>
    <row r="23" spans="1:25" ht="18" customHeight="1" x14ac:dyDescent="0.3">
      <c r="A23" s="91" t="s">
        <v>286</v>
      </c>
      <c r="B23" s="131" t="str">
        <f>INDEX('Employee Master'!B$4:B$23,MATCH(A23,'Employee Master'!A$4:A$23,0))</f>
        <v>Martinez</v>
      </c>
      <c r="C23" s="131" t="str">
        <f>INDEX('Employee Master'!C$4:C$23,MATCH(A23,'Employee Master'!A$4:A$23,0))</f>
        <v>Sofia</v>
      </c>
      <c r="D23" s="131" t="str">
        <f>INDEX('Employee Master'!E$4:E$23,MATCH(A23,'Employee Master'!A$4:A$23,0))</f>
        <v>Marketing</v>
      </c>
      <c r="E23" s="91" t="str">
        <f>INDEX('Employee Master'!G$4:G$23,MATCH(A23,'Employee Master'!A$4:A$23,0))</f>
        <v>Salary</v>
      </c>
      <c r="F23" s="132">
        <v>80</v>
      </c>
      <c r="G23" s="132">
        <v>0</v>
      </c>
      <c r="H23" s="132">
        <v>0</v>
      </c>
      <c r="I23" s="133">
        <f>IF(E23="Salary",INDEX('Employee Master'!I$4:I$23,MATCH(A23,'Employee Master'!A$4:A$23,0))/26,INDEX('Employee Master'!J$4:J$23,MATCH(A23,'Employee Master'!A$4:A$23,0))*F23)</f>
        <v>2230.7692307692309</v>
      </c>
      <c r="J23" s="133">
        <f>IF(E23="Hourly",INDEX('Employee Master'!J$4:J$23,MATCH(A23,'Employee Master'!A$4:A$23,0))*G23*0.5,0)</f>
        <v>0</v>
      </c>
      <c r="K23" s="133">
        <f>IF(E23="Hourly",INDEX('Employee Master'!J$4:J$23,MATCH(A23,'Employee Master'!A$4:A$23,0))*H23,0)</f>
        <v>0</v>
      </c>
      <c r="L23" s="133">
        <v>0</v>
      </c>
      <c r="M23" s="133">
        <f t="shared" si="0"/>
        <v>2230.7692307692309</v>
      </c>
      <c r="N23" s="133">
        <f>IFERROR(IF(INDEX('Employee Master'!L$4:L$23,MATCH(A23,'Employee Master'!A$4:A$23,0))="MFJ",IF((M23*26)&lt;=14600,(M23*26)*0.1,IF((M23*26)&lt;=57750,1460+((M23*26)-14600)*0.12,IF((M23*26)&lt;=113600,6628+((M23*26)-57750)*0.22,IF((M23*26)&lt;=225600,18914+((M23*26)-113600)*0.24,IF((M23*26)&lt;=537550,45794+((M23*26)-225600)*0.32,IF((M23*26)&lt;=643450,145538+((M23*26)-537550)*0.35,182648+((M23*26)-643450)*0.37))))))/26,IF((M23*26)&lt;=7300,(M23*26)*0.1,IF((M23*26)&lt;=28875,730+((M23*26)-7300)*0.12,IF((M23*26)&lt;=56875,3319+((M23*26)-28875)*0.22,IF((M23*26)&lt;=112875,9479+((M23*26)-56875)*0.24,IF((M23*26)&lt;=268850,23009+((M23*26)-112875)*0.32,IF((M23*26)&lt;=321800,72937+((M23*26)-268850)*0.35,91487+((M23*26)-321800)*0.37))))))/26),0)</f>
        <v>374.96153846153851</v>
      </c>
      <c r="O23" s="133">
        <f t="shared" si="1"/>
        <v>138.31</v>
      </c>
      <c r="P23" s="133">
        <f t="shared" si="2"/>
        <v>32.35</v>
      </c>
      <c r="Q23" s="133">
        <f>ROUND(M23*INDEX('Employee Master'!N$4:N$23,MATCH(A23,'Employee Master'!A$4:A$23,0)),2)</f>
        <v>122.47</v>
      </c>
      <c r="R23" s="133">
        <f t="shared" si="3"/>
        <v>668.09153846153856</v>
      </c>
      <c r="S23" s="133">
        <f>IFERROR(INDEX('Employee Master'!O$4:O$23,MATCH(A23,'Employee Master'!A$4:A$23,0))/26,0)</f>
        <v>11.346153846153847</v>
      </c>
      <c r="T23" s="133">
        <f>IFERROR(INDEX('Employee Master'!P$4:P$23,MATCH(A23,'Employee Master'!A$4:A$23,0))/26,0)</f>
        <v>1.7307692307692308</v>
      </c>
      <c r="U23" s="133">
        <f>IFERROR(INDEX('Employee Master'!Q$4:Q$23,MATCH(A23,'Employee Master'!A$4:A$23,0))/26,0)</f>
        <v>0.57692307692307687</v>
      </c>
      <c r="V23" s="133">
        <f>ROUND(M23*IFERROR(INDEX('Employee Master'!R$4:R$23,MATCH(A23,'Employee Master'!A$4:A$23,0)),0),2)</f>
        <v>89.23</v>
      </c>
      <c r="W23" s="133">
        <f>IFERROR(INDEX('Employee Master'!S$4:S$23,MATCH(A23,'Employee Master'!A$4:A$23,0))/26,0)</f>
        <v>0.96153846153846156</v>
      </c>
      <c r="X23" s="133">
        <f t="shared" si="4"/>
        <v>103.84538461538462</v>
      </c>
      <c r="Y23" s="133">
        <f t="shared" si="5"/>
        <v>1458.8323076923077</v>
      </c>
    </row>
    <row r="24" spans="1:25" ht="21.75" customHeight="1" x14ac:dyDescent="0.3">
      <c r="A24" s="198" t="s">
        <v>449</v>
      </c>
      <c r="B24" s="198"/>
      <c r="C24" s="198"/>
      <c r="D24" s="198"/>
      <c r="E24" s="198"/>
      <c r="F24" s="134">
        <f t="shared" ref="F24:Y24" si="6">SUM(F4:F23)</f>
        <v>1583</v>
      </c>
      <c r="G24" s="134">
        <f t="shared" si="6"/>
        <v>21</v>
      </c>
      <c r="H24" s="134">
        <f t="shared" si="6"/>
        <v>0</v>
      </c>
      <c r="I24" s="75">
        <f t="shared" si="6"/>
        <v>59110.730769230766</v>
      </c>
      <c r="J24" s="75">
        <f t="shared" si="6"/>
        <v>67.375</v>
      </c>
      <c r="K24" s="75">
        <f t="shared" si="6"/>
        <v>0</v>
      </c>
      <c r="L24" s="75">
        <f t="shared" si="6"/>
        <v>4500</v>
      </c>
      <c r="M24" s="75">
        <f t="shared" si="6"/>
        <v>63678.105769230766</v>
      </c>
      <c r="N24" s="75">
        <f t="shared" si="6"/>
        <v>10896.644807692308</v>
      </c>
      <c r="O24" s="75">
        <f t="shared" si="6"/>
        <v>3948.0499999999997</v>
      </c>
      <c r="P24" s="75">
        <f t="shared" si="6"/>
        <v>923.33</v>
      </c>
      <c r="Q24" s="75">
        <f t="shared" si="6"/>
        <v>3495.9300000000007</v>
      </c>
      <c r="R24" s="75">
        <f t="shared" si="6"/>
        <v>19263.954807692309</v>
      </c>
      <c r="S24" s="75">
        <f t="shared" si="6"/>
        <v>439.61538461538458</v>
      </c>
      <c r="T24" s="75">
        <f t="shared" si="6"/>
        <v>34.615384615384606</v>
      </c>
      <c r="U24" s="75">
        <f t="shared" si="6"/>
        <v>9.2307692307692282</v>
      </c>
      <c r="V24" s="75">
        <f t="shared" si="6"/>
        <v>3748.2</v>
      </c>
      <c r="W24" s="75">
        <f t="shared" si="6"/>
        <v>18.269230769230766</v>
      </c>
      <c r="X24" s="75">
        <f t="shared" si="6"/>
        <v>4249.9307692307684</v>
      </c>
      <c r="Y24" s="75">
        <f t="shared" si="6"/>
        <v>40164.220192307686</v>
      </c>
    </row>
    <row r="26" spans="1:25" ht="18" customHeight="1" x14ac:dyDescent="0.3">
      <c r="A26" s="188" t="s">
        <v>239</v>
      </c>
      <c r="B26" s="188"/>
      <c r="C26" s="188"/>
      <c r="D26" s="188"/>
      <c r="E26" s="188"/>
      <c r="F26" s="188"/>
      <c r="G26" s="188"/>
      <c r="H26" s="188"/>
      <c r="I26" s="188"/>
      <c r="J26" s="188"/>
      <c r="K26" s="188"/>
      <c r="L26" s="188"/>
      <c r="M26" s="188"/>
      <c r="N26" s="188"/>
      <c r="O26" s="188"/>
      <c r="P26" s="188"/>
      <c r="Q26" s="188"/>
      <c r="R26" s="188"/>
      <c r="S26" s="188"/>
      <c r="T26" s="188"/>
      <c r="U26" s="188"/>
      <c r="V26" s="188"/>
      <c r="W26" s="188"/>
      <c r="X26" s="188"/>
      <c r="Y26" s="188"/>
    </row>
    <row r="27" spans="1:25" ht="13.5" customHeight="1" x14ac:dyDescent="0.3">
      <c r="A27" s="165" t="s">
        <v>240</v>
      </c>
      <c r="B27" s="165"/>
      <c r="C27" s="165"/>
      <c r="D27" s="165"/>
      <c r="E27" s="165"/>
      <c r="F27" s="165"/>
      <c r="G27" s="165"/>
      <c r="H27" s="165"/>
      <c r="I27" s="165"/>
      <c r="J27" s="165"/>
      <c r="K27" s="165"/>
      <c r="L27" s="165"/>
      <c r="M27" s="165"/>
      <c r="N27" s="165"/>
      <c r="O27" s="165"/>
      <c r="P27" s="165"/>
      <c r="Q27" s="165"/>
      <c r="R27" s="165"/>
      <c r="S27" s="165"/>
      <c r="T27" s="165"/>
      <c r="U27" s="165"/>
      <c r="V27" s="165"/>
      <c r="W27" s="165"/>
      <c r="X27" s="165"/>
      <c r="Y27" s="165"/>
    </row>
  </sheetData>
  <sheetProtection algorithmName="SHA-512" hashValue="jwJwdAgM8Pdx5CkW9GvLV5Gon1hqnsaqEtns8mnwJpJESi+07xhBjGBPB88EzurlKrfbk/xTTBEHRGpxchiLTA==" saltValue="NCb9BEiFr5IM8SLp6l9oDQ==" spinCount="100000" sheet="1" objects="1" scenarios="1"/>
  <mergeCells count="5">
    <mergeCell ref="A1:Y1"/>
    <mergeCell ref="A2:Y2"/>
    <mergeCell ref="A24:E24"/>
    <mergeCell ref="A26:Y26"/>
    <mergeCell ref="A27:Y27"/>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B59B6"/>
  </sheetPr>
  <dimension ref="A1:P29"/>
  <sheetViews>
    <sheetView showGridLines="0" zoomScaleNormal="100" workbookViewId="0">
      <pane xSplit="3" ySplit="3" topLeftCell="D4" activePane="bottomRight" state="frozen"/>
      <selection pane="topRight" activeCell="D1" sqref="D1"/>
      <selection pane="bottomLeft" activeCell="A4" sqref="A4"/>
      <selection pane="bottomRight" sqref="A1:P1"/>
    </sheetView>
  </sheetViews>
  <sheetFormatPr defaultColWidth="8.6640625" defaultRowHeight="14.4" x14ac:dyDescent="0.3"/>
  <cols>
    <col min="1" max="1" width="8" style="15" customWidth="1"/>
    <col min="2" max="2" width="13" style="15" customWidth="1"/>
    <col min="3" max="3" width="12" style="15" customWidth="1"/>
    <col min="4" max="4" width="22" style="15" customWidth="1"/>
    <col min="5" max="5" width="13" style="15" customWidth="1"/>
    <col min="6" max="9" width="12" style="15" customWidth="1"/>
    <col min="10" max="10" width="13" style="15" customWidth="1"/>
    <col min="11" max="14" width="11" style="15" customWidth="1"/>
    <col min="15" max="16" width="13" style="15" customWidth="1"/>
  </cols>
  <sheetData>
    <row r="1" spans="1:16" ht="31.5" customHeight="1" x14ac:dyDescent="0.3">
      <c r="A1" s="139" t="s">
        <v>450</v>
      </c>
      <c r="B1" s="139"/>
      <c r="C1" s="139"/>
      <c r="D1" s="139"/>
      <c r="E1" s="139"/>
      <c r="F1" s="139"/>
      <c r="G1" s="139"/>
      <c r="H1" s="139"/>
      <c r="I1" s="139"/>
      <c r="J1" s="139"/>
      <c r="K1" s="139"/>
      <c r="L1" s="139"/>
      <c r="M1" s="139"/>
      <c r="N1" s="139"/>
      <c r="O1" s="139"/>
      <c r="P1" s="139"/>
    </row>
    <row r="2" spans="1:16" ht="15.75" customHeight="1" x14ac:dyDescent="0.3">
      <c r="A2" s="174" t="s">
        <v>451</v>
      </c>
      <c r="B2" s="174"/>
      <c r="C2" s="174"/>
      <c r="D2" s="174"/>
      <c r="E2" s="174"/>
      <c r="F2" s="174"/>
      <c r="G2" s="174"/>
      <c r="H2" s="174"/>
      <c r="I2" s="174"/>
      <c r="J2" s="174"/>
      <c r="K2" s="174"/>
      <c r="L2" s="174"/>
      <c r="M2" s="174"/>
      <c r="N2" s="174"/>
      <c r="O2" s="174"/>
      <c r="P2" s="174"/>
    </row>
    <row r="3" spans="1:16" ht="36" customHeight="1" x14ac:dyDescent="0.3">
      <c r="A3" s="27" t="s">
        <v>245</v>
      </c>
      <c r="B3" s="27" t="s">
        <v>305</v>
      </c>
      <c r="C3" s="27" t="s">
        <v>306</v>
      </c>
      <c r="D3" s="27" t="s">
        <v>224</v>
      </c>
      <c r="E3" s="27" t="s">
        <v>452</v>
      </c>
      <c r="F3" s="27" t="s">
        <v>453</v>
      </c>
      <c r="G3" s="27" t="s">
        <v>454</v>
      </c>
      <c r="H3" s="27" t="s">
        <v>455</v>
      </c>
      <c r="I3" s="27" t="s">
        <v>456</v>
      </c>
      <c r="J3" s="27" t="s">
        <v>457</v>
      </c>
      <c r="K3" s="27" t="s">
        <v>458</v>
      </c>
      <c r="L3" s="27" t="s">
        <v>459</v>
      </c>
      <c r="M3" s="27" t="s">
        <v>460</v>
      </c>
      <c r="N3" s="27" t="s">
        <v>461</v>
      </c>
      <c r="O3" s="27" t="s">
        <v>462</v>
      </c>
      <c r="P3" s="27" t="s">
        <v>463</v>
      </c>
    </row>
    <row r="4" spans="1:16" ht="18" customHeight="1" x14ac:dyDescent="0.3">
      <c r="A4" s="66" t="s">
        <v>267</v>
      </c>
      <c r="B4" s="66" t="s">
        <v>323</v>
      </c>
      <c r="C4" s="66" t="s">
        <v>324</v>
      </c>
      <c r="D4" s="66" t="s">
        <v>231</v>
      </c>
      <c r="E4" s="68">
        <v>44230.77</v>
      </c>
      <c r="F4" s="68">
        <v>7403.85</v>
      </c>
      <c r="G4" s="68">
        <v>2742.31</v>
      </c>
      <c r="H4" s="68">
        <v>641.35</v>
      </c>
      <c r="I4" s="68">
        <v>2428.27</v>
      </c>
      <c r="J4" s="68">
        <v>13215.78</v>
      </c>
      <c r="K4" s="68">
        <v>326.92</v>
      </c>
      <c r="L4" s="68">
        <v>17.309999999999999</v>
      </c>
      <c r="M4" s="68">
        <v>5.77</v>
      </c>
      <c r="N4" s="68">
        <v>2653.85</v>
      </c>
      <c r="O4" s="68">
        <v>3013.47</v>
      </c>
      <c r="P4" s="68">
        <v>28001.52</v>
      </c>
    </row>
    <row r="5" spans="1:16" ht="18" customHeight="1" x14ac:dyDescent="0.3">
      <c r="A5" s="70" t="s">
        <v>268</v>
      </c>
      <c r="B5" s="70" t="s">
        <v>332</v>
      </c>
      <c r="C5" s="70" t="s">
        <v>333</v>
      </c>
      <c r="D5" s="70" t="s">
        <v>231</v>
      </c>
      <c r="E5" s="72">
        <v>30000</v>
      </c>
      <c r="F5" s="72">
        <v>5595.77</v>
      </c>
      <c r="G5" s="72">
        <v>1860</v>
      </c>
      <c r="H5" s="72">
        <v>435</v>
      </c>
      <c r="I5" s="72">
        <v>1647</v>
      </c>
      <c r="J5" s="72">
        <v>9537.77</v>
      </c>
      <c r="K5" s="72">
        <v>211.54</v>
      </c>
      <c r="L5" s="72">
        <v>17.309999999999999</v>
      </c>
      <c r="M5" s="72">
        <v>5.77</v>
      </c>
      <c r="N5" s="72">
        <v>1200</v>
      </c>
      <c r="O5" s="72">
        <v>1444.24</v>
      </c>
      <c r="P5" s="72">
        <v>19017.990000000002</v>
      </c>
    </row>
    <row r="6" spans="1:16" ht="18" customHeight="1" x14ac:dyDescent="0.3">
      <c r="A6" s="66" t="s">
        <v>269</v>
      </c>
      <c r="B6" s="66" t="s">
        <v>338</v>
      </c>
      <c r="C6" s="66" t="s">
        <v>339</v>
      </c>
      <c r="D6" s="66" t="s">
        <v>232</v>
      </c>
      <c r="E6" s="68">
        <v>48076.92</v>
      </c>
      <c r="F6" s="68">
        <v>8326.92</v>
      </c>
      <c r="G6" s="68">
        <v>2980.77</v>
      </c>
      <c r="H6" s="68">
        <v>697.12</v>
      </c>
      <c r="I6" s="68">
        <v>2639.42</v>
      </c>
      <c r="J6" s="68">
        <v>14644.23</v>
      </c>
      <c r="K6" s="68">
        <v>326.92</v>
      </c>
      <c r="L6" s="68">
        <v>17.309999999999999</v>
      </c>
      <c r="M6" s="68">
        <v>5.77</v>
      </c>
      <c r="N6" s="68">
        <v>3846.15</v>
      </c>
      <c r="O6" s="68">
        <v>4205.7700000000004</v>
      </c>
      <c r="P6" s="68">
        <v>29226.92</v>
      </c>
    </row>
    <row r="7" spans="1:16" ht="18" customHeight="1" x14ac:dyDescent="0.3">
      <c r="A7" s="70" t="s">
        <v>270</v>
      </c>
      <c r="B7" s="70" t="s">
        <v>343</v>
      </c>
      <c r="C7" s="70" t="s">
        <v>344</v>
      </c>
      <c r="D7" s="70" t="s">
        <v>232</v>
      </c>
      <c r="E7" s="72">
        <v>27692.31</v>
      </c>
      <c r="F7" s="72">
        <v>5041.92</v>
      </c>
      <c r="G7" s="72">
        <v>1716.92</v>
      </c>
      <c r="H7" s="72">
        <v>401.54</v>
      </c>
      <c r="I7" s="72">
        <v>1520.31</v>
      </c>
      <c r="J7" s="72">
        <v>8680.69</v>
      </c>
      <c r="K7" s="72">
        <v>211.54</v>
      </c>
      <c r="L7" s="72">
        <v>17.309999999999999</v>
      </c>
      <c r="M7" s="72">
        <v>5.77</v>
      </c>
      <c r="N7" s="72">
        <v>1384.62</v>
      </c>
      <c r="O7" s="72">
        <v>1628.86</v>
      </c>
      <c r="P7" s="72">
        <v>17382.759999999998</v>
      </c>
    </row>
    <row r="8" spans="1:16" ht="18" customHeight="1" x14ac:dyDescent="0.3">
      <c r="A8" s="66" t="s">
        <v>271</v>
      </c>
      <c r="B8" s="66" t="s">
        <v>348</v>
      </c>
      <c r="C8" s="66" t="s">
        <v>349</v>
      </c>
      <c r="D8" s="66" t="s">
        <v>232</v>
      </c>
      <c r="E8" s="68">
        <v>21153.85</v>
      </c>
      <c r="F8" s="68">
        <v>3487.12</v>
      </c>
      <c r="G8" s="68">
        <v>1311.54</v>
      </c>
      <c r="H8" s="68">
        <v>306.73</v>
      </c>
      <c r="I8" s="68">
        <v>1161.3499999999999</v>
      </c>
      <c r="J8" s="68">
        <v>6266.74</v>
      </c>
      <c r="K8" s="68">
        <v>113.46</v>
      </c>
      <c r="L8" s="68">
        <v>17.309999999999999</v>
      </c>
      <c r="M8" s="68">
        <v>5.77</v>
      </c>
      <c r="N8" s="68">
        <v>634.62</v>
      </c>
      <c r="O8" s="68">
        <v>780.78</v>
      </c>
      <c r="P8" s="68">
        <v>14106.33</v>
      </c>
    </row>
    <row r="9" spans="1:16" ht="18" customHeight="1" x14ac:dyDescent="0.3">
      <c r="A9" s="70" t="s">
        <v>272</v>
      </c>
      <c r="B9" s="70" t="s">
        <v>353</v>
      </c>
      <c r="C9" s="70" t="s">
        <v>354</v>
      </c>
      <c r="D9" s="70" t="s">
        <v>233</v>
      </c>
      <c r="E9" s="72">
        <v>36538.46</v>
      </c>
      <c r="F9" s="72">
        <v>5701.15</v>
      </c>
      <c r="G9" s="72">
        <v>2265.38</v>
      </c>
      <c r="H9" s="72">
        <v>529.80999999999995</v>
      </c>
      <c r="I9" s="72">
        <v>2005.96</v>
      </c>
      <c r="J9" s="72">
        <v>10502.3</v>
      </c>
      <c r="K9" s="72">
        <v>326.92</v>
      </c>
      <c r="L9" s="72">
        <v>17.309999999999999</v>
      </c>
      <c r="M9" s="72">
        <v>5.77</v>
      </c>
      <c r="N9" s="72">
        <v>2557.69</v>
      </c>
      <c r="O9" s="72">
        <v>2917.31</v>
      </c>
      <c r="P9" s="72">
        <v>23118.85</v>
      </c>
    </row>
    <row r="10" spans="1:16" ht="18" customHeight="1" x14ac:dyDescent="0.3">
      <c r="A10" s="66" t="s">
        <v>273</v>
      </c>
      <c r="B10" s="66" t="s">
        <v>358</v>
      </c>
      <c r="C10" s="66" t="s">
        <v>359</v>
      </c>
      <c r="D10" s="66" t="s">
        <v>233</v>
      </c>
      <c r="E10" s="68">
        <v>25000</v>
      </c>
      <c r="F10" s="68">
        <v>4395.7700000000004</v>
      </c>
      <c r="G10" s="68">
        <v>1550</v>
      </c>
      <c r="H10" s="68">
        <v>362.5</v>
      </c>
      <c r="I10" s="68">
        <v>1372.5</v>
      </c>
      <c r="J10" s="68">
        <v>7680.77</v>
      </c>
      <c r="K10" s="68">
        <v>238.46</v>
      </c>
      <c r="L10" s="68">
        <v>17.309999999999999</v>
      </c>
      <c r="M10" s="68">
        <v>5.77</v>
      </c>
      <c r="N10" s="68">
        <v>1250</v>
      </c>
      <c r="O10" s="68">
        <v>1521.16</v>
      </c>
      <c r="P10" s="68">
        <v>15798.07</v>
      </c>
    </row>
    <row r="11" spans="1:16" ht="18" customHeight="1" x14ac:dyDescent="0.3">
      <c r="A11" s="70" t="s">
        <v>274</v>
      </c>
      <c r="B11" s="70" t="s">
        <v>364</v>
      </c>
      <c r="C11" s="70" t="s">
        <v>365</v>
      </c>
      <c r="D11" s="70" t="s">
        <v>233</v>
      </c>
      <c r="E11" s="72">
        <v>20000</v>
      </c>
      <c r="F11" s="72">
        <v>3233.27</v>
      </c>
      <c r="G11" s="72">
        <v>1240</v>
      </c>
      <c r="H11" s="72">
        <v>290</v>
      </c>
      <c r="I11" s="72">
        <v>1098</v>
      </c>
      <c r="J11" s="72">
        <v>5861.27</v>
      </c>
      <c r="K11" s="72">
        <v>113.46</v>
      </c>
      <c r="L11" s="72">
        <v>17.309999999999999</v>
      </c>
      <c r="M11" s="72">
        <v>0</v>
      </c>
      <c r="N11" s="72">
        <v>600</v>
      </c>
      <c r="O11" s="72">
        <v>740.39</v>
      </c>
      <c r="P11" s="72">
        <v>13398.34</v>
      </c>
    </row>
    <row r="12" spans="1:16" ht="18" customHeight="1" x14ac:dyDescent="0.3">
      <c r="A12" s="66" t="s">
        <v>275</v>
      </c>
      <c r="B12" s="66" t="s">
        <v>369</v>
      </c>
      <c r="C12" s="66" t="s">
        <v>370</v>
      </c>
      <c r="D12" s="66" t="s">
        <v>233</v>
      </c>
      <c r="E12" s="68">
        <v>21094.5</v>
      </c>
      <c r="F12" s="68">
        <v>3474.06</v>
      </c>
      <c r="G12" s="68">
        <v>1307.8599999999999</v>
      </c>
      <c r="H12" s="68">
        <v>305.87</v>
      </c>
      <c r="I12" s="68">
        <v>1158.0899999999999</v>
      </c>
      <c r="J12" s="68">
        <v>6245.88</v>
      </c>
      <c r="K12" s="68">
        <v>113.46</v>
      </c>
      <c r="L12" s="68">
        <v>17.309999999999999</v>
      </c>
      <c r="M12" s="68">
        <v>5.77</v>
      </c>
      <c r="N12" s="68">
        <v>632.83000000000004</v>
      </c>
      <c r="O12" s="68">
        <v>778.99</v>
      </c>
      <c r="P12" s="68">
        <v>14069.63</v>
      </c>
    </row>
    <row r="13" spans="1:16" ht="18" customHeight="1" x14ac:dyDescent="0.3">
      <c r="A13" s="70" t="s">
        <v>276</v>
      </c>
      <c r="B13" s="70" t="s">
        <v>375</v>
      </c>
      <c r="C13" s="70" t="s">
        <v>376</v>
      </c>
      <c r="D13" s="70" t="s">
        <v>233</v>
      </c>
      <c r="E13" s="72">
        <v>15701.25</v>
      </c>
      <c r="F13" s="72">
        <v>2287.54</v>
      </c>
      <c r="G13" s="72">
        <v>973.48</v>
      </c>
      <c r="H13" s="72">
        <v>227.67</v>
      </c>
      <c r="I13" s="72">
        <v>862</v>
      </c>
      <c r="J13" s="72">
        <v>4350.6899999999996</v>
      </c>
      <c r="K13" s="72">
        <v>113.46</v>
      </c>
      <c r="L13" s="72">
        <v>17.309999999999999</v>
      </c>
      <c r="M13" s="72">
        <v>0</v>
      </c>
      <c r="N13" s="72">
        <v>0</v>
      </c>
      <c r="O13" s="72">
        <v>140.38999999999999</v>
      </c>
      <c r="P13" s="72">
        <v>11210.17</v>
      </c>
    </row>
    <row r="14" spans="1:16" ht="18" customHeight="1" x14ac:dyDescent="0.3">
      <c r="A14" s="66" t="s">
        <v>277</v>
      </c>
      <c r="B14" s="66" t="s">
        <v>380</v>
      </c>
      <c r="C14" s="66" t="s">
        <v>381</v>
      </c>
      <c r="D14" s="66" t="s">
        <v>234</v>
      </c>
      <c r="E14" s="68">
        <v>40384.61</v>
      </c>
      <c r="F14" s="68">
        <v>6547.31</v>
      </c>
      <c r="G14" s="68">
        <v>2503.85</v>
      </c>
      <c r="H14" s="68">
        <v>585.58000000000004</v>
      </c>
      <c r="I14" s="68">
        <v>2217.12</v>
      </c>
      <c r="J14" s="68">
        <v>11853.86</v>
      </c>
      <c r="K14" s="68">
        <v>326.92</v>
      </c>
      <c r="L14" s="68">
        <v>17.309999999999999</v>
      </c>
      <c r="M14" s="68">
        <v>5.77</v>
      </c>
      <c r="N14" s="68">
        <v>3230.77</v>
      </c>
      <c r="O14" s="68">
        <v>3590.39</v>
      </c>
      <c r="P14" s="68">
        <v>24940.36</v>
      </c>
    </row>
    <row r="15" spans="1:16" ht="18" customHeight="1" x14ac:dyDescent="0.3">
      <c r="A15" s="70" t="s">
        <v>278</v>
      </c>
      <c r="B15" s="70" t="s">
        <v>323</v>
      </c>
      <c r="C15" s="70" t="s">
        <v>385</v>
      </c>
      <c r="D15" s="70" t="s">
        <v>234</v>
      </c>
      <c r="E15" s="72">
        <v>31538.46</v>
      </c>
      <c r="F15" s="72">
        <v>4601.1499999999996</v>
      </c>
      <c r="G15" s="72">
        <v>1955.38</v>
      </c>
      <c r="H15" s="72">
        <v>457.31</v>
      </c>
      <c r="I15" s="72">
        <v>1731.46</v>
      </c>
      <c r="J15" s="72">
        <v>8745.2999999999993</v>
      </c>
      <c r="K15" s="72">
        <v>326.92</v>
      </c>
      <c r="L15" s="72">
        <v>17.309999999999999</v>
      </c>
      <c r="M15" s="72">
        <v>5.77</v>
      </c>
      <c r="N15" s="72">
        <v>1892.31</v>
      </c>
      <c r="O15" s="72">
        <v>2251.9299999999998</v>
      </c>
      <c r="P15" s="72">
        <v>20541.23</v>
      </c>
    </row>
    <row r="16" spans="1:16" ht="18" customHeight="1" x14ac:dyDescent="0.3">
      <c r="A16" s="66" t="s">
        <v>279</v>
      </c>
      <c r="B16" s="66" t="s">
        <v>389</v>
      </c>
      <c r="C16" s="66" t="s">
        <v>390</v>
      </c>
      <c r="D16" s="66" t="s">
        <v>234</v>
      </c>
      <c r="E16" s="68">
        <v>33846.15</v>
      </c>
      <c r="F16" s="68">
        <v>6518.85</v>
      </c>
      <c r="G16" s="68">
        <v>2098.46</v>
      </c>
      <c r="H16" s="68">
        <v>490.77</v>
      </c>
      <c r="I16" s="68">
        <v>1858.15</v>
      </c>
      <c r="J16" s="68">
        <v>10966.23</v>
      </c>
      <c r="K16" s="68">
        <v>211.54</v>
      </c>
      <c r="L16" s="68">
        <v>17.309999999999999</v>
      </c>
      <c r="M16" s="68">
        <v>5.77</v>
      </c>
      <c r="N16" s="68">
        <v>2030.77</v>
      </c>
      <c r="O16" s="68">
        <v>2275.0100000000002</v>
      </c>
      <c r="P16" s="68">
        <v>20604.91</v>
      </c>
    </row>
    <row r="17" spans="1:16" ht="18" customHeight="1" x14ac:dyDescent="0.3">
      <c r="A17" s="70" t="s">
        <v>280</v>
      </c>
      <c r="B17" s="70" t="s">
        <v>394</v>
      </c>
      <c r="C17" s="70" t="s">
        <v>395</v>
      </c>
      <c r="D17" s="70" t="s">
        <v>234</v>
      </c>
      <c r="E17" s="72">
        <v>15918</v>
      </c>
      <c r="F17" s="72">
        <v>2335.23</v>
      </c>
      <c r="G17" s="72">
        <v>986.92</v>
      </c>
      <c r="H17" s="72">
        <v>230.81</v>
      </c>
      <c r="I17" s="72">
        <v>873.9</v>
      </c>
      <c r="J17" s="72">
        <v>4426.8599999999997</v>
      </c>
      <c r="K17" s="72">
        <v>113.46</v>
      </c>
      <c r="L17" s="72">
        <v>17.309999999999999</v>
      </c>
      <c r="M17" s="72">
        <v>0</v>
      </c>
      <c r="N17" s="72">
        <v>318.36</v>
      </c>
      <c r="O17" s="72">
        <v>458.75</v>
      </c>
      <c r="P17" s="72">
        <v>11032.39</v>
      </c>
    </row>
    <row r="18" spans="1:16" ht="18" customHeight="1" x14ac:dyDescent="0.3">
      <c r="A18" s="66" t="s">
        <v>281</v>
      </c>
      <c r="B18" s="66" t="s">
        <v>399</v>
      </c>
      <c r="C18" s="66" t="s">
        <v>400</v>
      </c>
      <c r="D18" s="66" t="s">
        <v>235</v>
      </c>
      <c r="E18" s="68">
        <v>61576.92</v>
      </c>
      <c r="F18" s="68">
        <v>11566.92</v>
      </c>
      <c r="G18" s="68">
        <v>3817.77</v>
      </c>
      <c r="H18" s="68">
        <v>892.87</v>
      </c>
      <c r="I18" s="68">
        <v>3380.57</v>
      </c>
      <c r="J18" s="68">
        <v>19658.13</v>
      </c>
      <c r="K18" s="68">
        <v>326.92</v>
      </c>
      <c r="L18" s="68">
        <v>17.309999999999999</v>
      </c>
      <c r="M18" s="68">
        <v>5.77</v>
      </c>
      <c r="N18" s="68">
        <v>6157.69</v>
      </c>
      <c r="O18" s="68">
        <v>6517.31</v>
      </c>
      <c r="P18" s="68">
        <v>35401.480000000003</v>
      </c>
    </row>
    <row r="19" spans="1:16" ht="18" customHeight="1" x14ac:dyDescent="0.3">
      <c r="A19" s="70" t="s">
        <v>282</v>
      </c>
      <c r="B19" s="70" t="s">
        <v>404</v>
      </c>
      <c r="C19" s="70" t="s">
        <v>405</v>
      </c>
      <c r="D19" s="70" t="s">
        <v>235</v>
      </c>
      <c r="E19" s="72">
        <v>32161.54</v>
      </c>
      <c r="F19" s="72">
        <v>4738.2299999999996</v>
      </c>
      <c r="G19" s="72">
        <v>1994.02</v>
      </c>
      <c r="H19" s="72">
        <v>466.34</v>
      </c>
      <c r="I19" s="72">
        <v>1765.67</v>
      </c>
      <c r="J19" s="72">
        <v>8964.26</v>
      </c>
      <c r="K19" s="72">
        <v>326.92</v>
      </c>
      <c r="L19" s="72">
        <v>17.309999999999999</v>
      </c>
      <c r="M19" s="72">
        <v>5.77</v>
      </c>
      <c r="N19" s="72">
        <v>1608.08</v>
      </c>
      <c r="O19" s="72">
        <v>1967.7</v>
      </c>
      <c r="P19" s="72">
        <v>21229.58</v>
      </c>
    </row>
    <row r="20" spans="1:16" ht="18" customHeight="1" x14ac:dyDescent="0.3">
      <c r="A20" s="66" t="s">
        <v>283</v>
      </c>
      <c r="B20" s="66" t="s">
        <v>409</v>
      </c>
      <c r="C20" s="66" t="s">
        <v>410</v>
      </c>
      <c r="D20" s="66" t="s">
        <v>235</v>
      </c>
      <c r="E20" s="68">
        <v>26146.15</v>
      </c>
      <c r="F20" s="68">
        <v>4670.8500000000004</v>
      </c>
      <c r="G20" s="68">
        <v>1621.06</v>
      </c>
      <c r="H20" s="68">
        <v>379.12</v>
      </c>
      <c r="I20" s="68">
        <v>1435.42</v>
      </c>
      <c r="J20" s="68">
        <v>8106.45</v>
      </c>
      <c r="K20" s="68">
        <v>113.46</v>
      </c>
      <c r="L20" s="68">
        <v>17.309999999999999</v>
      </c>
      <c r="M20" s="68">
        <v>5.77</v>
      </c>
      <c r="N20" s="68">
        <v>1045.8499999999999</v>
      </c>
      <c r="O20" s="68">
        <v>1192.01</v>
      </c>
      <c r="P20" s="68">
        <v>16847.689999999999</v>
      </c>
    </row>
    <row r="21" spans="1:16" ht="18" customHeight="1" x14ac:dyDescent="0.3">
      <c r="A21" s="70" t="s">
        <v>284</v>
      </c>
      <c r="B21" s="70" t="s">
        <v>414</v>
      </c>
      <c r="C21" s="70" t="s">
        <v>415</v>
      </c>
      <c r="D21" s="70" t="s">
        <v>235</v>
      </c>
      <c r="E21" s="72">
        <v>13949</v>
      </c>
      <c r="F21" s="72">
        <v>1902.05</v>
      </c>
      <c r="G21" s="72">
        <v>864.84</v>
      </c>
      <c r="H21" s="72">
        <v>202.26</v>
      </c>
      <c r="I21" s="72">
        <v>765.8</v>
      </c>
      <c r="J21" s="72">
        <v>3734.95</v>
      </c>
      <c r="K21" s="72">
        <v>113.46</v>
      </c>
      <c r="L21" s="72">
        <v>17.309999999999999</v>
      </c>
      <c r="M21" s="72">
        <v>0</v>
      </c>
      <c r="N21" s="72">
        <v>0</v>
      </c>
      <c r="O21" s="72">
        <v>140.38999999999999</v>
      </c>
      <c r="P21" s="72">
        <v>10073.66</v>
      </c>
    </row>
    <row r="22" spans="1:16" ht="18" customHeight="1" x14ac:dyDescent="0.3">
      <c r="A22" s="66" t="s">
        <v>285</v>
      </c>
      <c r="B22" s="66" t="s">
        <v>358</v>
      </c>
      <c r="C22" s="66" t="s">
        <v>419</v>
      </c>
      <c r="D22" s="66" t="s">
        <v>236</v>
      </c>
      <c r="E22" s="68">
        <v>41538.46</v>
      </c>
      <c r="F22" s="68">
        <v>6801.15</v>
      </c>
      <c r="G22" s="68">
        <v>2575.38</v>
      </c>
      <c r="H22" s="68">
        <v>602.30999999999995</v>
      </c>
      <c r="I22" s="68">
        <v>2280.46</v>
      </c>
      <c r="J22" s="68">
        <v>12259.3</v>
      </c>
      <c r="K22" s="68">
        <v>326.92</v>
      </c>
      <c r="L22" s="68">
        <v>17.309999999999999</v>
      </c>
      <c r="M22" s="68">
        <v>5.77</v>
      </c>
      <c r="N22" s="68">
        <v>3323.08</v>
      </c>
      <c r="O22" s="68">
        <v>3682.7</v>
      </c>
      <c r="P22" s="68">
        <v>25596.46</v>
      </c>
    </row>
    <row r="23" spans="1:16" ht="18" customHeight="1" x14ac:dyDescent="0.3">
      <c r="A23" s="70" t="s">
        <v>286</v>
      </c>
      <c r="B23" s="70" t="s">
        <v>353</v>
      </c>
      <c r="C23" s="70" t="s">
        <v>423</v>
      </c>
      <c r="D23" s="70" t="s">
        <v>236</v>
      </c>
      <c r="E23" s="72">
        <v>22307.69</v>
      </c>
      <c r="F23" s="72">
        <v>3749.61</v>
      </c>
      <c r="G23" s="72">
        <v>1383.08</v>
      </c>
      <c r="H23" s="72">
        <v>323.45999999999998</v>
      </c>
      <c r="I23" s="72">
        <v>1224.69</v>
      </c>
      <c r="J23" s="72">
        <v>6680.84</v>
      </c>
      <c r="K23" s="72">
        <v>113.46</v>
      </c>
      <c r="L23" s="72">
        <v>17.309999999999999</v>
      </c>
      <c r="M23" s="72">
        <v>5.77</v>
      </c>
      <c r="N23" s="72">
        <v>892.31</v>
      </c>
      <c r="O23" s="72">
        <v>1038.47</v>
      </c>
      <c r="P23" s="72">
        <v>14588.38</v>
      </c>
    </row>
    <row r="24" spans="1:16" ht="21.75" customHeight="1" x14ac:dyDescent="0.3">
      <c r="A24" s="198" t="s">
        <v>464</v>
      </c>
      <c r="B24" s="198"/>
      <c r="C24" s="198"/>
      <c r="D24" s="198"/>
      <c r="E24" s="75">
        <f t="shared" ref="E24:P24" si="0">SUM(E4:E23)</f>
        <v>608855.03999999992</v>
      </c>
      <c r="F24" s="75">
        <f t="shared" si="0"/>
        <v>102378.71999999999</v>
      </c>
      <c r="G24" s="75">
        <f t="shared" si="0"/>
        <v>37749.019999999997</v>
      </c>
      <c r="H24" s="75">
        <f t="shared" si="0"/>
        <v>8828.42</v>
      </c>
      <c r="I24" s="75">
        <f t="shared" si="0"/>
        <v>33426.14</v>
      </c>
      <c r="J24" s="75">
        <f t="shared" si="0"/>
        <v>182382.30000000002</v>
      </c>
      <c r="K24" s="75">
        <f t="shared" si="0"/>
        <v>4396.1200000000008</v>
      </c>
      <c r="L24" s="75">
        <f t="shared" si="0"/>
        <v>346.2</v>
      </c>
      <c r="M24" s="75">
        <f t="shared" si="0"/>
        <v>92.319999999999965</v>
      </c>
      <c r="N24" s="75">
        <f t="shared" si="0"/>
        <v>35258.979999999996</v>
      </c>
      <c r="O24" s="75">
        <f t="shared" si="0"/>
        <v>40286.020000000004</v>
      </c>
      <c r="P24" s="75">
        <f t="shared" si="0"/>
        <v>386186.72000000003</v>
      </c>
    </row>
    <row r="26" spans="1:16" ht="21.75" customHeight="1" x14ac:dyDescent="0.3">
      <c r="A26" s="207" t="s">
        <v>465</v>
      </c>
      <c r="B26" s="207"/>
      <c r="C26" s="207"/>
      <c r="D26" s="207"/>
      <c r="E26" s="207"/>
      <c r="F26" s="207"/>
      <c r="G26" s="207"/>
      <c r="H26" s="207"/>
      <c r="I26" s="207"/>
      <c r="J26" s="207"/>
      <c r="K26" s="207"/>
      <c r="L26" s="207"/>
      <c r="M26" s="207"/>
      <c r="N26" s="207"/>
      <c r="O26" s="207"/>
      <c r="P26" s="207"/>
    </row>
    <row r="28" spans="1:16" ht="18" customHeight="1" x14ac:dyDescent="0.3">
      <c r="A28" s="188" t="s">
        <v>239</v>
      </c>
      <c r="B28" s="188"/>
      <c r="C28" s="188"/>
      <c r="D28" s="188"/>
      <c r="E28" s="188"/>
      <c r="F28" s="188"/>
      <c r="G28" s="188"/>
      <c r="H28" s="188"/>
      <c r="I28" s="188"/>
      <c r="J28" s="188"/>
      <c r="K28" s="188"/>
      <c r="L28" s="188"/>
      <c r="M28" s="188"/>
      <c r="N28" s="188"/>
      <c r="O28" s="188"/>
      <c r="P28" s="188"/>
    </row>
    <row r="29" spans="1:16" ht="13.5" customHeight="1" x14ac:dyDescent="0.3">
      <c r="A29" s="165" t="s">
        <v>240</v>
      </c>
      <c r="B29" s="165"/>
      <c r="C29" s="165"/>
      <c r="D29" s="165"/>
      <c r="E29" s="165"/>
      <c r="F29" s="165"/>
      <c r="G29" s="165"/>
      <c r="H29" s="165"/>
      <c r="I29" s="165"/>
      <c r="J29" s="165"/>
      <c r="K29" s="165"/>
      <c r="L29" s="165"/>
      <c r="M29" s="165"/>
      <c r="N29" s="165"/>
      <c r="O29" s="165"/>
      <c r="P29" s="165"/>
    </row>
  </sheetData>
  <sheetProtection algorithmName="SHA-512" hashValue="I6KfQcplXQYvRHOrU/hN+4xUaB0GwTC5Io2QI56f+ZDbyB0vWF52j5UshUeW2aaN9WSMEsACUYMVUc0OEb+nGA==" saltValue="oMJKzgPgaVEn7xgPLWSnFw==" spinCount="100000" sheet="1" objects="1" scenarios="1"/>
  <mergeCells count="6">
    <mergeCell ref="A29:P29"/>
    <mergeCell ref="A1:P1"/>
    <mergeCell ref="A2:P2"/>
    <mergeCell ref="A24:D24"/>
    <mergeCell ref="A26:P26"/>
    <mergeCell ref="A28:P2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D966"/>
  </sheetPr>
  <dimension ref="A1:G33"/>
  <sheetViews>
    <sheetView showGridLines="0" zoomScaleNormal="100" workbookViewId="0">
      <selection sqref="A1:G1"/>
    </sheetView>
  </sheetViews>
  <sheetFormatPr defaultColWidth="8.6640625" defaultRowHeight="14.4" x14ac:dyDescent="0.3"/>
  <cols>
    <col min="1" max="1" width="28" style="15" customWidth="1"/>
    <col min="2" max="3" width="10" style="15" customWidth="1"/>
    <col min="4" max="4" width="14" style="15" customWidth="1"/>
    <col min="5" max="5" width="52" style="15" customWidth="1"/>
    <col min="6" max="6" width="9.88671875" style="15" bestFit="1" customWidth="1"/>
    <col min="7" max="7" width="8.88671875" style="15" bestFit="1" customWidth="1"/>
  </cols>
  <sheetData>
    <row r="1" spans="1:7" ht="25.5" customHeight="1" x14ac:dyDescent="0.3">
      <c r="A1" s="208" t="s">
        <v>466</v>
      </c>
      <c r="B1" s="208"/>
      <c r="C1" s="208"/>
      <c r="D1" s="208"/>
      <c r="E1" s="208"/>
      <c r="F1" s="208"/>
      <c r="G1" s="208"/>
    </row>
    <row r="2" spans="1:7" ht="19.5" customHeight="1" x14ac:dyDescent="0.3">
      <c r="A2" s="209" t="s">
        <v>467</v>
      </c>
      <c r="B2" s="209"/>
      <c r="C2" s="209"/>
      <c r="D2" s="209"/>
      <c r="E2" s="209"/>
      <c r="F2" s="209"/>
      <c r="G2" s="209"/>
    </row>
    <row r="3" spans="1:7" ht="21.75" customHeight="1" x14ac:dyDescent="0.3">
      <c r="A3" s="167" t="s">
        <v>468</v>
      </c>
      <c r="B3" s="167"/>
      <c r="C3" s="167"/>
      <c r="D3" s="167"/>
      <c r="E3" s="167"/>
      <c r="F3" s="167"/>
      <c r="G3" s="167"/>
    </row>
    <row r="4" spans="1:7" ht="49.95" customHeight="1" x14ac:dyDescent="0.3">
      <c r="A4" s="27" t="s">
        <v>469</v>
      </c>
      <c r="B4" s="27" t="s">
        <v>470</v>
      </c>
      <c r="C4" s="27" t="s">
        <v>471</v>
      </c>
      <c r="D4" s="27" t="s">
        <v>472</v>
      </c>
      <c r="E4" s="27" t="s">
        <v>473</v>
      </c>
      <c r="F4" s="27" t="s">
        <v>474</v>
      </c>
      <c r="G4" s="27" t="s">
        <v>475</v>
      </c>
    </row>
    <row r="5" spans="1:7" ht="15" customHeight="1" x14ac:dyDescent="0.3">
      <c r="A5" s="70" t="s">
        <v>476</v>
      </c>
      <c r="B5" s="126">
        <v>0</v>
      </c>
      <c r="C5" s="126">
        <v>14600</v>
      </c>
      <c r="D5" s="126">
        <v>0</v>
      </c>
      <c r="E5" s="127">
        <v>0.1</v>
      </c>
      <c r="F5" s="72">
        <v>280.769230769231</v>
      </c>
      <c r="G5" s="72">
        <v>28.076923076923102</v>
      </c>
    </row>
    <row r="6" spans="1:7" ht="15" customHeight="1" x14ac:dyDescent="0.3">
      <c r="A6" s="66" t="s">
        <v>477</v>
      </c>
      <c r="B6" s="121">
        <v>14600</v>
      </c>
      <c r="C6" s="121">
        <v>57750</v>
      </c>
      <c r="D6" s="121">
        <v>1460</v>
      </c>
      <c r="E6" s="122">
        <v>0.12</v>
      </c>
      <c r="F6" s="68">
        <v>1391.3461538461499</v>
      </c>
      <c r="G6" s="68">
        <v>155.730769230769</v>
      </c>
    </row>
    <row r="7" spans="1:7" ht="15" customHeight="1" x14ac:dyDescent="0.3">
      <c r="A7" s="70" t="s">
        <v>478</v>
      </c>
      <c r="B7" s="126">
        <v>57750</v>
      </c>
      <c r="C7" s="126">
        <v>113600</v>
      </c>
      <c r="D7" s="126">
        <v>6628</v>
      </c>
      <c r="E7" s="127">
        <v>0.22</v>
      </c>
      <c r="F7" s="72">
        <v>3295.1923076923099</v>
      </c>
      <c r="G7" s="72">
        <v>491.21153846153902</v>
      </c>
    </row>
    <row r="8" spans="1:7" ht="15" customHeight="1" x14ac:dyDescent="0.3">
      <c r="A8" s="66" t="s">
        <v>479</v>
      </c>
      <c r="B8" s="121">
        <v>113600</v>
      </c>
      <c r="C8" s="121">
        <v>225600</v>
      </c>
      <c r="D8" s="121">
        <v>18914</v>
      </c>
      <c r="E8" s="122">
        <v>0.24</v>
      </c>
      <c r="F8" s="68">
        <v>6523.0769230769201</v>
      </c>
      <c r="G8" s="68">
        <v>1244.38461538462</v>
      </c>
    </row>
    <row r="9" spans="1:7" ht="15" customHeight="1" x14ac:dyDescent="0.3">
      <c r="A9" s="70" t="s">
        <v>480</v>
      </c>
      <c r="B9" s="126">
        <v>225600</v>
      </c>
      <c r="C9" s="126">
        <v>537550</v>
      </c>
      <c r="D9" s="126">
        <v>45794</v>
      </c>
      <c r="E9" s="127">
        <v>0.32</v>
      </c>
      <c r="F9" s="72">
        <v>14675.961538461501</v>
      </c>
      <c r="G9" s="72">
        <v>3681</v>
      </c>
    </row>
    <row r="10" spans="1:7" ht="15" customHeight="1" x14ac:dyDescent="0.3">
      <c r="A10" s="66" t="s">
        <v>481</v>
      </c>
      <c r="B10" s="121">
        <v>537550</v>
      </c>
      <c r="C10" s="121">
        <v>643450</v>
      </c>
      <c r="D10" s="121">
        <v>145538</v>
      </c>
      <c r="E10" s="122">
        <v>0.35</v>
      </c>
      <c r="F10" s="68">
        <v>22711.538461538501</v>
      </c>
      <c r="G10" s="68">
        <v>6310.4038461538503</v>
      </c>
    </row>
    <row r="11" spans="1:7" ht="15" customHeight="1" x14ac:dyDescent="0.3">
      <c r="A11" s="70" t="s">
        <v>482</v>
      </c>
      <c r="B11" s="126">
        <v>643450</v>
      </c>
      <c r="C11" s="124" t="s">
        <v>483</v>
      </c>
      <c r="D11" s="126">
        <v>182648</v>
      </c>
      <c r="E11" s="127">
        <v>0.37</v>
      </c>
      <c r="F11" s="72">
        <v>26671.153846153898</v>
      </c>
      <c r="G11" s="72">
        <v>7736.4615384615399</v>
      </c>
    </row>
    <row r="13" spans="1:7" ht="21.75" customHeight="1" x14ac:dyDescent="0.3">
      <c r="A13" s="167" t="s">
        <v>484</v>
      </c>
      <c r="B13" s="167"/>
      <c r="C13" s="167"/>
      <c r="D13" s="167"/>
      <c r="E13" s="167"/>
      <c r="F13" s="167"/>
      <c r="G13" s="167"/>
    </row>
    <row r="14" spans="1:7" ht="49.95" customHeight="1" x14ac:dyDescent="0.3">
      <c r="A14" s="27" t="s">
        <v>469</v>
      </c>
      <c r="B14" s="27" t="s">
        <v>470</v>
      </c>
      <c r="C14" s="27" t="s">
        <v>471</v>
      </c>
      <c r="D14" s="27" t="s">
        <v>472</v>
      </c>
      <c r="E14" s="27" t="s">
        <v>473</v>
      </c>
      <c r="F14" s="27" t="s">
        <v>474</v>
      </c>
      <c r="G14" s="27" t="s">
        <v>475</v>
      </c>
    </row>
    <row r="15" spans="1:7" ht="15" customHeight="1" x14ac:dyDescent="0.3">
      <c r="A15" s="70" t="s">
        <v>476</v>
      </c>
      <c r="B15" s="126">
        <v>0</v>
      </c>
      <c r="C15" s="126">
        <v>7300</v>
      </c>
      <c r="D15" s="126">
        <v>0</v>
      </c>
      <c r="E15" s="127">
        <v>0.1</v>
      </c>
      <c r="F15" s="72">
        <v>140.38461538461499</v>
      </c>
      <c r="G15" s="72">
        <v>14.038461538461499</v>
      </c>
    </row>
    <row r="16" spans="1:7" ht="15" customHeight="1" x14ac:dyDescent="0.3">
      <c r="A16" s="66" t="s">
        <v>477</v>
      </c>
      <c r="B16" s="121">
        <v>7300</v>
      </c>
      <c r="C16" s="121">
        <v>28875</v>
      </c>
      <c r="D16" s="121">
        <v>730</v>
      </c>
      <c r="E16" s="122">
        <v>0.12</v>
      </c>
      <c r="F16" s="68">
        <v>695.67307692307702</v>
      </c>
      <c r="G16" s="68">
        <v>77.865384615384599</v>
      </c>
    </row>
    <row r="17" spans="1:7" ht="15" customHeight="1" x14ac:dyDescent="0.3">
      <c r="A17" s="70" t="s">
        <v>478</v>
      </c>
      <c r="B17" s="126">
        <v>28875</v>
      </c>
      <c r="C17" s="126">
        <v>56875</v>
      </c>
      <c r="D17" s="126">
        <v>3319</v>
      </c>
      <c r="E17" s="127">
        <v>0.22</v>
      </c>
      <c r="F17" s="72">
        <v>1649.0384615384601</v>
      </c>
      <c r="G17" s="72">
        <v>246.11538461538501</v>
      </c>
    </row>
    <row r="18" spans="1:7" ht="15" customHeight="1" x14ac:dyDescent="0.3">
      <c r="A18" s="66" t="s">
        <v>479</v>
      </c>
      <c r="B18" s="121">
        <v>56875</v>
      </c>
      <c r="C18" s="121">
        <v>112875</v>
      </c>
      <c r="D18" s="121">
        <v>9479</v>
      </c>
      <c r="E18" s="122">
        <v>0.24</v>
      </c>
      <c r="F18" s="68">
        <v>3264.4230769230799</v>
      </c>
      <c r="G18" s="68">
        <v>623.038461538462</v>
      </c>
    </row>
    <row r="19" spans="1:7" ht="15" customHeight="1" x14ac:dyDescent="0.3">
      <c r="A19" s="70" t="s">
        <v>480</v>
      </c>
      <c r="B19" s="126">
        <v>112875</v>
      </c>
      <c r="C19" s="126">
        <v>268850</v>
      </c>
      <c r="D19" s="126">
        <v>23009</v>
      </c>
      <c r="E19" s="127">
        <v>0.32</v>
      </c>
      <c r="F19" s="72">
        <v>7340.8653846153902</v>
      </c>
      <c r="G19" s="72">
        <v>1844.8076923076901</v>
      </c>
    </row>
    <row r="20" spans="1:7" ht="15" customHeight="1" x14ac:dyDescent="0.3">
      <c r="A20" s="66" t="s">
        <v>481</v>
      </c>
      <c r="B20" s="121">
        <v>268850</v>
      </c>
      <c r="C20" s="121">
        <v>321800</v>
      </c>
      <c r="D20" s="121">
        <v>72937</v>
      </c>
      <c r="E20" s="122">
        <v>0.35</v>
      </c>
      <c r="F20" s="68">
        <v>11358.6538461539</v>
      </c>
      <c r="G20" s="68">
        <v>3161.6634615384601</v>
      </c>
    </row>
    <row r="21" spans="1:7" ht="15" customHeight="1" x14ac:dyDescent="0.3">
      <c r="A21" s="70" t="s">
        <v>482</v>
      </c>
      <c r="B21" s="126">
        <v>321800</v>
      </c>
      <c r="C21" s="124" t="s">
        <v>483</v>
      </c>
      <c r="D21" s="126">
        <v>91487</v>
      </c>
      <c r="E21" s="127">
        <v>0.37</v>
      </c>
      <c r="F21" s="72">
        <v>13338.461538461501</v>
      </c>
      <c r="G21" s="72">
        <v>3874.5</v>
      </c>
    </row>
    <row r="23" spans="1:7" ht="15" customHeight="1" x14ac:dyDescent="0.3">
      <c r="A23" s="167" t="s">
        <v>485</v>
      </c>
      <c r="B23" s="167"/>
      <c r="C23" s="167"/>
      <c r="D23" s="167"/>
      <c r="E23" s="167"/>
      <c r="F23" s="167"/>
      <c r="G23" s="167"/>
    </row>
    <row r="24" spans="1:7" ht="25.05" customHeight="1" x14ac:dyDescent="0.3">
      <c r="A24" s="27" t="s">
        <v>486</v>
      </c>
      <c r="B24" s="27" t="s">
        <v>487</v>
      </c>
      <c r="C24" s="27" t="s">
        <v>488</v>
      </c>
      <c r="D24" s="27" t="s">
        <v>489</v>
      </c>
      <c r="E24" s="27" t="s">
        <v>490</v>
      </c>
      <c r="F24" s="210"/>
      <c r="G24" s="210"/>
    </row>
    <row r="25" spans="1:7" ht="15" customHeight="1" x14ac:dyDescent="0.3">
      <c r="A25" s="123" t="s">
        <v>491</v>
      </c>
      <c r="B25" s="123" t="s">
        <v>492</v>
      </c>
      <c r="C25" s="123" t="s">
        <v>492</v>
      </c>
      <c r="D25" s="123" t="s">
        <v>493</v>
      </c>
      <c r="E25" s="211" t="s">
        <v>494</v>
      </c>
      <c r="F25" s="211"/>
      <c r="G25" s="211"/>
    </row>
    <row r="26" spans="1:7" ht="15" customHeight="1" x14ac:dyDescent="0.3">
      <c r="A26" s="119" t="s">
        <v>495</v>
      </c>
      <c r="B26" s="119" t="s">
        <v>496</v>
      </c>
      <c r="C26" s="119" t="s">
        <v>496</v>
      </c>
      <c r="D26" s="119" t="s">
        <v>483</v>
      </c>
      <c r="E26" s="212" t="s">
        <v>497</v>
      </c>
      <c r="F26" s="212"/>
      <c r="G26" s="212"/>
    </row>
    <row r="27" spans="1:7" ht="15" customHeight="1" x14ac:dyDescent="0.3">
      <c r="A27" s="123" t="s">
        <v>498</v>
      </c>
      <c r="B27" s="123" t="s">
        <v>499</v>
      </c>
      <c r="C27" s="123" t="s">
        <v>500</v>
      </c>
      <c r="D27" s="123" t="s">
        <v>501</v>
      </c>
      <c r="E27" s="211" t="s">
        <v>502</v>
      </c>
      <c r="F27" s="211"/>
      <c r="G27" s="211"/>
    </row>
    <row r="28" spans="1:7" ht="15" customHeight="1" x14ac:dyDescent="0.3">
      <c r="A28" s="119" t="s">
        <v>503</v>
      </c>
      <c r="B28" s="119" t="s">
        <v>500</v>
      </c>
      <c r="C28" s="119" t="s">
        <v>504</v>
      </c>
      <c r="D28" s="119" t="s">
        <v>505</v>
      </c>
      <c r="E28" s="212" t="s">
        <v>506</v>
      </c>
      <c r="F28" s="212"/>
      <c r="G28" s="212"/>
    </row>
    <row r="29" spans="1:7" ht="15" customHeight="1" x14ac:dyDescent="0.3">
      <c r="A29" s="123" t="s">
        <v>507</v>
      </c>
      <c r="B29" s="123" t="s">
        <v>500</v>
      </c>
      <c r="C29" s="123" t="s">
        <v>508</v>
      </c>
      <c r="D29" s="123" t="s">
        <v>509</v>
      </c>
      <c r="E29" s="211" t="s">
        <v>510</v>
      </c>
      <c r="F29" s="211"/>
      <c r="G29" s="211"/>
    </row>
    <row r="30" spans="1:7" ht="15" customHeight="1" x14ac:dyDescent="0.3">
      <c r="A30" s="119" t="s">
        <v>511</v>
      </c>
      <c r="B30" s="119" t="s">
        <v>512</v>
      </c>
      <c r="C30" s="119" t="s">
        <v>500</v>
      </c>
      <c r="D30" s="119" t="s">
        <v>483</v>
      </c>
      <c r="E30" s="212" t="s">
        <v>513</v>
      </c>
      <c r="F30" s="212"/>
      <c r="G30" s="212"/>
    </row>
    <row r="32" spans="1:7" ht="18" customHeight="1" x14ac:dyDescent="0.3">
      <c r="A32" s="188" t="s">
        <v>239</v>
      </c>
      <c r="B32" s="188"/>
      <c r="C32" s="188"/>
      <c r="D32" s="188"/>
      <c r="E32" s="188"/>
      <c r="F32" s="188"/>
      <c r="G32" s="188"/>
    </row>
    <row r="33" spans="1:7" ht="13.5" customHeight="1" x14ac:dyDescent="0.3">
      <c r="A33" s="165" t="s">
        <v>240</v>
      </c>
      <c r="B33" s="165"/>
      <c r="C33" s="165"/>
      <c r="D33" s="165"/>
      <c r="E33" s="165"/>
      <c r="F33" s="165"/>
      <c r="G33" s="165"/>
    </row>
  </sheetData>
  <sheetProtection algorithmName="SHA-512" hashValue="3Hf5uhiSZRaZ+L8pDO0YLapbDKFZbL8oSIXx1tVYXCxUbu+bM5ppq2wrTgjEC5L2U9q15wsVUp/jSFbLuE68cw==" saltValue="kLFBK/bwQ3vPw7QcDwzwuw==" spinCount="100000" sheet="1" objects="1" scenarios="1"/>
  <mergeCells count="14">
    <mergeCell ref="E29:G29"/>
    <mergeCell ref="E30:G30"/>
    <mergeCell ref="A32:G32"/>
    <mergeCell ref="A33:G33"/>
    <mergeCell ref="F24:G24"/>
    <mergeCell ref="E25:G25"/>
    <mergeCell ref="E26:G26"/>
    <mergeCell ref="E27:G27"/>
    <mergeCell ref="E28:G28"/>
    <mergeCell ref="A1:G1"/>
    <mergeCell ref="A2:G2"/>
    <mergeCell ref="A3:G3"/>
    <mergeCell ref="A13:G13"/>
    <mergeCell ref="A23:G23"/>
  </mergeCells>
  <pageMargins left="0.75" right="0.75" top="1" bottom="1" header="0.511811023622047" footer="0.511811023622047"/>
  <pageSetup paperSize="9" orientation="portrait" horizontalDpi="300" verticalDpi="300"/>
  <ignoredErrors>
    <ignoredError sqref="B25:C30"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4B942"/>
  </sheetPr>
  <dimension ref="A1:L17"/>
  <sheetViews>
    <sheetView showGridLines="0" zoomScaleNormal="100" workbookViewId="0">
      <pane ySplit="3" topLeftCell="A4" activePane="bottomLeft" state="frozen"/>
      <selection pane="bottomLeft" sqref="A1:L1"/>
    </sheetView>
  </sheetViews>
  <sheetFormatPr defaultColWidth="8.6640625" defaultRowHeight="14.4" x14ac:dyDescent="0.3"/>
  <cols>
    <col min="1" max="1" width="8" style="15" customWidth="1"/>
    <col min="2" max="2" width="26" style="15" customWidth="1"/>
    <col min="3" max="3" width="16" style="15" customWidth="1"/>
    <col min="4" max="5" width="14" style="15" customWidth="1"/>
    <col min="6" max="6" width="12" style="15" customWidth="1"/>
    <col min="7" max="7" width="12.88671875" style="15" bestFit="1" customWidth="1"/>
    <col min="8" max="9" width="15" style="15" customWidth="1"/>
    <col min="10" max="10" width="9" style="15" customWidth="1"/>
    <col min="11" max="11" width="12" style="15" customWidth="1"/>
    <col min="12" max="12" width="30" style="15" customWidth="1"/>
  </cols>
  <sheetData>
    <row r="1" spans="1:12" ht="31.5" customHeight="1" x14ac:dyDescent="0.3">
      <c r="A1" s="139" t="s">
        <v>514</v>
      </c>
      <c r="B1" s="139"/>
      <c r="C1" s="139"/>
      <c r="D1" s="139"/>
      <c r="E1" s="139"/>
      <c r="F1" s="139"/>
      <c r="G1" s="139"/>
      <c r="H1" s="139"/>
      <c r="I1" s="139"/>
      <c r="J1" s="139"/>
      <c r="K1" s="139"/>
      <c r="L1" s="139"/>
    </row>
    <row r="2" spans="1:12" ht="15.75" customHeight="1" x14ac:dyDescent="0.3">
      <c r="A2" s="174" t="s">
        <v>515</v>
      </c>
      <c r="B2" s="174"/>
      <c r="C2" s="174"/>
      <c r="D2" s="174"/>
      <c r="E2" s="174"/>
      <c r="F2" s="174"/>
      <c r="G2" s="174"/>
      <c r="H2" s="174"/>
      <c r="I2" s="174"/>
      <c r="J2" s="174"/>
      <c r="K2" s="174"/>
      <c r="L2" s="174"/>
    </row>
    <row r="3" spans="1:12" ht="27.75" customHeight="1" x14ac:dyDescent="0.3">
      <c r="A3" s="27" t="s">
        <v>516</v>
      </c>
      <c r="B3" s="27" t="s">
        <v>517</v>
      </c>
      <c r="C3" s="27" t="s">
        <v>518</v>
      </c>
      <c r="D3" s="27" t="s">
        <v>519</v>
      </c>
      <c r="E3" s="27" t="s">
        <v>520</v>
      </c>
      <c r="F3" s="27" t="s">
        <v>521</v>
      </c>
      <c r="G3" s="27" t="s">
        <v>522</v>
      </c>
      <c r="H3" s="27" t="s">
        <v>523</v>
      </c>
      <c r="I3" s="27" t="s">
        <v>524</v>
      </c>
      <c r="J3" s="27" t="s">
        <v>525</v>
      </c>
      <c r="K3" s="27" t="s">
        <v>526</v>
      </c>
      <c r="L3" s="27" t="s">
        <v>527</v>
      </c>
    </row>
    <row r="4" spans="1:12" ht="18" customHeight="1" x14ac:dyDescent="0.3">
      <c r="A4" s="119" t="s">
        <v>528</v>
      </c>
      <c r="B4" s="66" t="s">
        <v>529</v>
      </c>
      <c r="C4" s="66" t="s">
        <v>530</v>
      </c>
      <c r="D4" s="119" t="s">
        <v>531</v>
      </c>
      <c r="E4" s="121">
        <v>7700</v>
      </c>
      <c r="F4" s="121">
        <v>3120</v>
      </c>
      <c r="G4" s="121">
        <v>4580</v>
      </c>
      <c r="H4" s="68">
        <f t="shared" ref="H4:I10" si="0">F4/26</f>
        <v>120</v>
      </c>
      <c r="I4" s="135">
        <f t="shared" si="0"/>
        <v>176.15384615384616</v>
      </c>
      <c r="J4" s="119" t="s">
        <v>331</v>
      </c>
      <c r="K4" s="119" t="s">
        <v>532</v>
      </c>
      <c r="L4" s="216" t="s">
        <v>500</v>
      </c>
    </row>
    <row r="5" spans="1:12" ht="18" customHeight="1" x14ac:dyDescent="0.3">
      <c r="A5" s="123" t="s">
        <v>533</v>
      </c>
      <c r="B5" s="70" t="s">
        <v>534</v>
      </c>
      <c r="C5" s="70" t="s">
        <v>530</v>
      </c>
      <c r="D5" s="123" t="s">
        <v>535</v>
      </c>
      <c r="E5" s="126">
        <v>14300</v>
      </c>
      <c r="F5" s="126">
        <v>7150</v>
      </c>
      <c r="G5" s="126">
        <v>7150</v>
      </c>
      <c r="H5" s="72">
        <f t="shared" si="0"/>
        <v>275</v>
      </c>
      <c r="I5" s="136">
        <f t="shared" si="0"/>
        <v>275</v>
      </c>
      <c r="J5" s="123" t="s">
        <v>331</v>
      </c>
      <c r="K5" s="123" t="s">
        <v>532</v>
      </c>
      <c r="L5" s="217" t="s">
        <v>500</v>
      </c>
    </row>
    <row r="6" spans="1:12" ht="18" customHeight="1" x14ac:dyDescent="0.3">
      <c r="A6" s="119" t="s">
        <v>536</v>
      </c>
      <c r="B6" s="66" t="s">
        <v>537</v>
      </c>
      <c r="C6" s="66" t="s">
        <v>530</v>
      </c>
      <c r="D6" s="119" t="s">
        <v>538</v>
      </c>
      <c r="E6" s="121">
        <v>22100</v>
      </c>
      <c r="F6" s="121">
        <v>11050</v>
      </c>
      <c r="G6" s="121">
        <v>11050</v>
      </c>
      <c r="H6" s="68">
        <f t="shared" si="0"/>
        <v>425</v>
      </c>
      <c r="I6" s="135">
        <f t="shared" si="0"/>
        <v>425</v>
      </c>
      <c r="J6" s="119" t="s">
        <v>331</v>
      </c>
      <c r="K6" s="119" t="s">
        <v>532</v>
      </c>
      <c r="L6" s="216" t="s">
        <v>500</v>
      </c>
    </row>
    <row r="7" spans="1:12" ht="18" customHeight="1" x14ac:dyDescent="0.3">
      <c r="A7" s="123" t="s">
        <v>539</v>
      </c>
      <c r="B7" s="70" t="s">
        <v>443</v>
      </c>
      <c r="C7" s="70" t="s">
        <v>540</v>
      </c>
      <c r="D7" s="123" t="s">
        <v>541</v>
      </c>
      <c r="E7" s="126">
        <v>1170</v>
      </c>
      <c r="F7" s="126">
        <v>1170</v>
      </c>
      <c r="G7" s="126">
        <v>0</v>
      </c>
      <c r="H7" s="72">
        <f t="shared" si="0"/>
        <v>45</v>
      </c>
      <c r="I7" s="136">
        <f t="shared" si="0"/>
        <v>0</v>
      </c>
      <c r="J7" s="123" t="s">
        <v>331</v>
      </c>
      <c r="K7" s="123" t="s">
        <v>542</v>
      </c>
      <c r="L7" s="217" t="s">
        <v>500</v>
      </c>
    </row>
    <row r="8" spans="1:12" ht="18" customHeight="1" x14ac:dyDescent="0.3">
      <c r="A8" s="119" t="s">
        <v>543</v>
      </c>
      <c r="B8" s="66" t="s">
        <v>444</v>
      </c>
      <c r="C8" s="66" t="s">
        <v>544</v>
      </c>
      <c r="D8" s="119" t="s">
        <v>541</v>
      </c>
      <c r="E8" s="121">
        <v>390</v>
      </c>
      <c r="F8" s="121">
        <v>390</v>
      </c>
      <c r="G8" s="121">
        <v>0</v>
      </c>
      <c r="H8" s="68">
        <f t="shared" si="0"/>
        <v>15</v>
      </c>
      <c r="I8" s="135">
        <f t="shared" si="0"/>
        <v>0</v>
      </c>
      <c r="J8" s="119" t="s">
        <v>331</v>
      </c>
      <c r="K8" s="119" t="s">
        <v>444</v>
      </c>
      <c r="L8" s="216" t="s">
        <v>500</v>
      </c>
    </row>
    <row r="9" spans="1:12" ht="18" customHeight="1" x14ac:dyDescent="0.3">
      <c r="A9" s="123" t="s">
        <v>545</v>
      </c>
      <c r="B9" s="70" t="s">
        <v>546</v>
      </c>
      <c r="C9" s="70" t="s">
        <v>547</v>
      </c>
      <c r="D9" s="123" t="s">
        <v>548</v>
      </c>
      <c r="E9" s="126">
        <v>650</v>
      </c>
      <c r="F9" s="126">
        <v>0</v>
      </c>
      <c r="G9" s="126">
        <v>650</v>
      </c>
      <c r="H9" s="72">
        <f t="shared" si="0"/>
        <v>0</v>
      </c>
      <c r="I9" s="136">
        <f t="shared" si="0"/>
        <v>25</v>
      </c>
      <c r="J9" s="123" t="s">
        <v>549</v>
      </c>
      <c r="K9" s="123" t="s">
        <v>550</v>
      </c>
      <c r="L9" s="217" t="s">
        <v>500</v>
      </c>
    </row>
    <row r="10" spans="1:12" ht="18" customHeight="1" x14ac:dyDescent="0.3">
      <c r="A10" s="119" t="s">
        <v>551</v>
      </c>
      <c r="B10" s="66" t="s">
        <v>552</v>
      </c>
      <c r="C10" s="66" t="s">
        <v>547</v>
      </c>
      <c r="D10" s="119" t="s">
        <v>553</v>
      </c>
      <c r="E10" s="121">
        <v>650</v>
      </c>
      <c r="F10" s="121">
        <v>650</v>
      </c>
      <c r="G10" s="121">
        <v>0</v>
      </c>
      <c r="H10" s="68">
        <f t="shared" si="0"/>
        <v>25</v>
      </c>
      <c r="I10" s="135">
        <f t="shared" si="0"/>
        <v>0</v>
      </c>
      <c r="J10" s="119" t="s">
        <v>549</v>
      </c>
      <c r="K10" s="119" t="s">
        <v>554</v>
      </c>
      <c r="L10" s="216" t="s">
        <v>500</v>
      </c>
    </row>
    <row r="11" spans="1:12" ht="18" customHeight="1" x14ac:dyDescent="0.3">
      <c r="A11" s="123" t="s">
        <v>555</v>
      </c>
      <c r="B11" s="70" t="s">
        <v>556</v>
      </c>
      <c r="C11" s="70" t="s">
        <v>557</v>
      </c>
      <c r="D11" s="123" t="s">
        <v>230</v>
      </c>
      <c r="E11" s="126" t="s">
        <v>558</v>
      </c>
      <c r="F11" s="126" t="s">
        <v>559</v>
      </c>
      <c r="G11" s="126" t="s">
        <v>560</v>
      </c>
      <c r="H11" s="72" t="s">
        <v>561</v>
      </c>
      <c r="I11" s="136" t="s">
        <v>561</v>
      </c>
      <c r="J11" s="123" t="s">
        <v>331</v>
      </c>
      <c r="K11" s="123" t="s">
        <v>562</v>
      </c>
      <c r="L11" s="217" t="s">
        <v>563</v>
      </c>
    </row>
    <row r="12" spans="1:12" ht="18" customHeight="1" x14ac:dyDescent="0.3">
      <c r="A12" s="119" t="s">
        <v>564</v>
      </c>
      <c r="B12" s="66" t="s">
        <v>565</v>
      </c>
      <c r="C12" s="66" t="s">
        <v>557</v>
      </c>
      <c r="D12" s="119" t="s">
        <v>566</v>
      </c>
      <c r="E12" s="121">
        <v>4300</v>
      </c>
      <c r="F12" s="121">
        <v>2150</v>
      </c>
      <c r="G12" s="121">
        <v>2150</v>
      </c>
      <c r="H12" s="68" t="s">
        <v>558</v>
      </c>
      <c r="I12" s="135" t="s">
        <v>558</v>
      </c>
      <c r="J12" s="119" t="s">
        <v>331</v>
      </c>
      <c r="K12" s="119" t="s">
        <v>567</v>
      </c>
      <c r="L12" s="216" t="s">
        <v>568</v>
      </c>
    </row>
    <row r="13" spans="1:12" ht="18" customHeight="1" x14ac:dyDescent="0.3">
      <c r="A13" s="123" t="s">
        <v>569</v>
      </c>
      <c r="B13" s="70" t="s">
        <v>570</v>
      </c>
      <c r="C13" s="70" t="s">
        <v>571</v>
      </c>
      <c r="D13" s="123" t="s">
        <v>541</v>
      </c>
      <c r="E13" s="126">
        <v>3200</v>
      </c>
      <c r="F13" s="126">
        <v>3200</v>
      </c>
      <c r="G13" s="126">
        <v>0</v>
      </c>
      <c r="H13" s="72" t="s">
        <v>558</v>
      </c>
      <c r="I13" s="136" t="s">
        <v>500</v>
      </c>
      <c r="J13" s="123" t="s">
        <v>331</v>
      </c>
      <c r="K13" s="123" t="s">
        <v>572</v>
      </c>
      <c r="L13" s="217" t="s">
        <v>573</v>
      </c>
    </row>
    <row r="14" spans="1:12" ht="18" customHeight="1" x14ac:dyDescent="0.3">
      <c r="A14" s="119" t="s">
        <v>574</v>
      </c>
      <c r="B14" s="66" t="s">
        <v>575</v>
      </c>
      <c r="C14" s="66" t="s">
        <v>571</v>
      </c>
      <c r="D14" s="119" t="s">
        <v>541</v>
      </c>
      <c r="E14" s="121">
        <v>5000</v>
      </c>
      <c r="F14" s="121">
        <v>5000</v>
      </c>
      <c r="G14" s="121">
        <v>0</v>
      </c>
      <c r="H14" s="68" t="s">
        <v>558</v>
      </c>
      <c r="I14" s="135" t="s">
        <v>500</v>
      </c>
      <c r="J14" s="119" t="s">
        <v>331</v>
      </c>
      <c r="K14" s="119" t="s">
        <v>576</v>
      </c>
      <c r="L14" s="216" t="s">
        <v>577</v>
      </c>
    </row>
    <row r="16" spans="1:12" ht="18" customHeight="1" x14ac:dyDescent="0.3">
      <c r="A16" s="188" t="s">
        <v>239</v>
      </c>
      <c r="B16" s="188"/>
      <c r="C16" s="188"/>
      <c r="D16" s="188"/>
      <c r="E16" s="188"/>
      <c r="F16" s="188"/>
      <c r="G16" s="188"/>
      <c r="H16" s="188"/>
      <c r="I16" s="188"/>
      <c r="J16" s="188"/>
      <c r="K16" s="188"/>
      <c r="L16" s="188"/>
    </row>
    <row r="17" spans="1:12" ht="13.5" customHeight="1" x14ac:dyDescent="0.3">
      <c r="A17" s="165" t="s">
        <v>240</v>
      </c>
      <c r="B17" s="165"/>
      <c r="C17" s="165"/>
      <c r="D17" s="165"/>
      <c r="E17" s="165"/>
      <c r="F17" s="165"/>
      <c r="G17" s="165"/>
      <c r="H17" s="165"/>
      <c r="I17" s="165"/>
      <c r="J17" s="165"/>
      <c r="K17" s="165"/>
      <c r="L17" s="165"/>
    </row>
  </sheetData>
  <sheetProtection algorithmName="SHA-512" hashValue="GZylRpVY/KjTQZayFV68Pb4cF02GxpKGglesvOYW8gsXfWKCQyDLUwHSaKP5oOIucD9eiM+WQ1Blu7zpcFrm+w==" saltValue="xfBT27QBkNwL7rx1QvhDxA==" spinCount="100000" sheet="1" objects="1" scenarios="1"/>
  <mergeCells count="4">
    <mergeCell ref="A1:L1"/>
    <mergeCell ref="A2:L2"/>
    <mergeCell ref="A16:L16"/>
    <mergeCell ref="A17:L17"/>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74C3C"/>
  </sheetPr>
  <dimension ref="A1:J13"/>
  <sheetViews>
    <sheetView showGridLines="0" zoomScaleNormal="100" workbookViewId="0">
      <pane ySplit="3" topLeftCell="A4" activePane="bottomLeft" state="frozen"/>
      <selection pane="bottomLeft" sqref="A1:J1"/>
    </sheetView>
  </sheetViews>
  <sheetFormatPr defaultColWidth="8.6640625" defaultRowHeight="14.4" x14ac:dyDescent="0.3"/>
  <cols>
    <col min="1" max="1" width="26" style="15" customWidth="1"/>
    <col min="2" max="2" width="12" style="15" customWidth="1"/>
    <col min="3" max="3" width="14" style="15" customWidth="1"/>
    <col min="4" max="5" width="12" style="15" customWidth="1"/>
    <col min="6" max="6" width="13" style="15" customWidth="1"/>
    <col min="7" max="8" width="12" style="15" customWidth="1"/>
    <col min="9" max="9" width="17" style="15" customWidth="1"/>
    <col min="10" max="10" width="14" style="15" customWidth="1"/>
  </cols>
  <sheetData>
    <row r="1" spans="1:10" ht="31.5" customHeight="1" x14ac:dyDescent="0.3">
      <c r="A1" s="139" t="s">
        <v>578</v>
      </c>
      <c r="B1" s="139"/>
      <c r="C1" s="139"/>
      <c r="D1" s="139"/>
      <c r="E1" s="139"/>
      <c r="F1" s="139"/>
      <c r="G1" s="139"/>
      <c r="H1" s="139"/>
      <c r="I1" s="139"/>
      <c r="J1" s="139"/>
    </row>
    <row r="2" spans="1:10" ht="15.75" customHeight="1" x14ac:dyDescent="0.3">
      <c r="A2" s="174" t="s">
        <v>579</v>
      </c>
      <c r="B2" s="174"/>
      <c r="C2" s="174"/>
      <c r="D2" s="174"/>
      <c r="E2" s="174"/>
      <c r="F2" s="174"/>
      <c r="G2" s="174"/>
      <c r="H2" s="174"/>
      <c r="I2" s="174"/>
      <c r="J2" s="174"/>
    </row>
    <row r="3" spans="1:10" ht="30" customHeight="1" x14ac:dyDescent="0.3">
      <c r="A3" s="27" t="s">
        <v>224</v>
      </c>
      <c r="B3" s="27" t="s">
        <v>580</v>
      </c>
      <c r="C3" s="27" t="s">
        <v>226</v>
      </c>
      <c r="D3" s="27" t="s">
        <v>581</v>
      </c>
      <c r="E3" s="27" t="s">
        <v>582</v>
      </c>
      <c r="F3" s="27" t="s">
        <v>583</v>
      </c>
      <c r="G3" s="27" t="s">
        <v>584</v>
      </c>
      <c r="H3" s="27" t="s">
        <v>585</v>
      </c>
      <c r="I3" s="27" t="s">
        <v>221</v>
      </c>
      <c r="J3" s="27" t="s">
        <v>586</v>
      </c>
    </row>
    <row r="4" spans="1:10" ht="19.5" customHeight="1" x14ac:dyDescent="0.3">
      <c r="A4" s="137" t="s">
        <v>231</v>
      </c>
      <c r="B4" s="67">
        <f>COUNTIF('Payroll Register'!D4:D23,A4)</f>
        <v>2</v>
      </c>
      <c r="C4" s="130">
        <f>SUMIFS('Payroll Register'!M4:M23,'Payroll Register'!D4:D23,A4)</f>
        <v>7423.0769230769229</v>
      </c>
      <c r="D4" s="130">
        <f>SUMIFS('Payroll Register'!N4:N23,'Payroll Register'!D4:D23,A4)</f>
        <v>1299.9615384615386</v>
      </c>
      <c r="E4" s="130">
        <f>SUMIFS('Payroll Register'!O4:O23,'Payroll Register'!D4:D23,A4)</f>
        <v>460.23</v>
      </c>
      <c r="F4" s="130">
        <f>SUMIFS('Payroll Register'!P4:P23,'Payroll Register'!D4:D23,A4)</f>
        <v>107.63</v>
      </c>
      <c r="G4" s="130">
        <f>SUMIFS('Payroll Register'!Q4:Q23,'Payroll Register'!D4:D23,A4)</f>
        <v>407.53</v>
      </c>
      <c r="H4" s="130">
        <f>SUMIFS('Payroll Register'!R4:R23,'Payroll Register'!D4:D23,A4)</f>
        <v>2275.3515384615384</v>
      </c>
      <c r="I4" s="130">
        <f>SUMIFS('Payroll Register'!X4:X23,'Payroll Register'!D4:D23,A4)</f>
        <v>444.8030769230769</v>
      </c>
      <c r="J4" s="130">
        <f>SUMIFS('Payroll Register'!Y4:Y23,'Payroll Register'!D4:D23,A4)</f>
        <v>4702.9223076923072</v>
      </c>
    </row>
    <row r="5" spans="1:10" ht="19.5" customHeight="1" x14ac:dyDescent="0.3">
      <c r="A5" s="138" t="s">
        <v>232</v>
      </c>
      <c r="B5" s="71">
        <f>COUNTIF('Payroll Register'!D4:D23,A5)</f>
        <v>3</v>
      </c>
      <c r="C5" s="133">
        <f>SUMIFS('Payroll Register'!M4:M23,'Payroll Register'!D4:D23,A5)</f>
        <v>9692.3076923076915</v>
      </c>
      <c r="D5" s="133">
        <f>SUMIFS('Payroll Register'!N4:N23,'Payroll Register'!D4:D23,A5)</f>
        <v>1685.5961538461538</v>
      </c>
      <c r="E5" s="133">
        <f>SUMIFS('Payroll Register'!O4:O23,'Payroll Register'!D4:D23,A5)</f>
        <v>600.91999999999996</v>
      </c>
      <c r="F5" s="133">
        <f>SUMIFS('Payroll Register'!P4:P23,'Payroll Register'!D4:D23,A5)</f>
        <v>140.52999999999997</v>
      </c>
      <c r="G5" s="133">
        <f>SUMIFS('Payroll Register'!Q4:Q23,'Payroll Register'!D4:D23,A5)</f>
        <v>532.1</v>
      </c>
      <c r="H5" s="133">
        <f>SUMIFS('Payroll Register'!R4:R23,'Payroll Register'!D4:D23,A5)</f>
        <v>2959.146153846154</v>
      </c>
      <c r="I5" s="133">
        <f>SUMIFS('Payroll Register'!X4:X23,'Payroll Register'!D4:D23,A5)</f>
        <v>661.54</v>
      </c>
      <c r="J5" s="133">
        <f>SUMIFS('Payroll Register'!Y4:Y23,'Payroll Register'!D4:D23,A5)</f>
        <v>6071.621538461538</v>
      </c>
    </row>
    <row r="6" spans="1:10" ht="19.5" customHeight="1" x14ac:dyDescent="0.3">
      <c r="A6" s="137" t="s">
        <v>233</v>
      </c>
      <c r="B6" s="67">
        <f>COUNTIF('Payroll Register'!D4:D23,A6)</f>
        <v>5</v>
      </c>
      <c r="C6" s="130">
        <f>SUMIFS('Payroll Register'!M4:M23,'Payroll Register'!D4:D23,A6)</f>
        <v>11663.221153846154</v>
      </c>
      <c r="D6" s="130">
        <f>SUMIFS('Payroll Register'!N4:N23,'Payroll Register'!D4:D23,A6)</f>
        <v>1871.7355769230769</v>
      </c>
      <c r="E6" s="130">
        <f>SUMIFS('Payroll Register'!O4:O23,'Payroll Register'!D4:D23,A6)</f>
        <v>723.12</v>
      </c>
      <c r="F6" s="130">
        <f>SUMIFS('Payroll Register'!P4:P23,'Payroll Register'!D4:D23,A6)</f>
        <v>169.11999999999998</v>
      </c>
      <c r="G6" s="130">
        <f>SUMIFS('Payroll Register'!Q4:Q23,'Payroll Register'!D4:D23,A6)</f>
        <v>640.31000000000006</v>
      </c>
      <c r="H6" s="130">
        <f>SUMIFS('Payroll Register'!R4:R23,'Payroll Register'!D4:D23,A6)</f>
        <v>3404.2855769230764</v>
      </c>
      <c r="I6" s="130">
        <f>SUMIFS('Payroll Register'!X4:X23,'Payroll Register'!D4:D23,A6)</f>
        <v>604.41923076923081</v>
      </c>
      <c r="J6" s="130">
        <f>SUMIFS('Payroll Register'!Y4:Y23,'Payroll Register'!D4:D23,A6)</f>
        <v>7654.5163461538459</v>
      </c>
    </row>
    <row r="7" spans="1:10" ht="19.5" customHeight="1" x14ac:dyDescent="0.3">
      <c r="A7" s="138" t="s">
        <v>234</v>
      </c>
      <c r="B7" s="71">
        <f>COUNTIF('Payroll Register'!D4:D23,A7)</f>
        <v>4</v>
      </c>
      <c r="C7" s="133">
        <f>SUMIFS('Payroll Register'!M4:M23,'Payroll Register'!D4:D23,A7)</f>
        <v>12088.923076923078</v>
      </c>
      <c r="D7" s="133">
        <f>SUMIFS('Payroll Register'!N4:N23,'Payroll Register'!D4:D23,A7)</f>
        <v>1982.697692307692</v>
      </c>
      <c r="E7" s="133">
        <f>SUMIFS('Payroll Register'!O4:O23,'Payroll Register'!D4:D23,A7)</f>
        <v>749.51</v>
      </c>
      <c r="F7" s="133">
        <f>SUMIFS('Payroll Register'!P4:P23,'Payroll Register'!D4:D23,A7)</f>
        <v>175.29000000000002</v>
      </c>
      <c r="G7" s="133">
        <f>SUMIFS('Payroll Register'!Q4:Q23,'Payroll Register'!D4:D23,A7)</f>
        <v>663.69</v>
      </c>
      <c r="H7" s="133">
        <f>SUMIFS('Payroll Register'!R4:R23,'Payroll Register'!D4:D23,A7)</f>
        <v>3571.1876923076925</v>
      </c>
      <c r="I7" s="133">
        <f>SUMIFS('Payroll Register'!X4:X23,'Payroll Register'!D4:D23,A7)</f>
        <v>856.01461538461535</v>
      </c>
      <c r="J7" s="133">
        <f>SUMIFS('Payroll Register'!Y4:Y23,'Payroll Register'!D4:D23,A7)</f>
        <v>7661.7207692307693</v>
      </c>
    </row>
    <row r="8" spans="1:10" ht="19.5" customHeight="1" x14ac:dyDescent="0.3">
      <c r="A8" s="137" t="s">
        <v>235</v>
      </c>
      <c r="B8" s="67">
        <f>COUNTIF('Payroll Register'!D4:D23,A8)</f>
        <v>4</v>
      </c>
      <c r="C8" s="130">
        <f>SUMIFS('Payroll Register'!M4:M23,'Payroll Register'!D4:D23,A8)</f>
        <v>16425.961538461539</v>
      </c>
      <c r="D8" s="130">
        <f>SUMIFS('Payroll Register'!N4:N23,'Payroll Register'!D4:D23,A8)</f>
        <v>3001.5769230769229</v>
      </c>
      <c r="E8" s="130">
        <f>SUMIFS('Payroll Register'!O4:O23,'Payroll Register'!D4:D23,A8)</f>
        <v>1018.4200000000001</v>
      </c>
      <c r="F8" s="130">
        <f>SUMIFS('Payroll Register'!P4:P23,'Payroll Register'!D4:D23,A8)</f>
        <v>238.18</v>
      </c>
      <c r="G8" s="130">
        <f>SUMIFS('Payroll Register'!Q4:Q23,'Payroll Register'!D4:D23,A8)</f>
        <v>901.78</v>
      </c>
      <c r="H8" s="130">
        <f>SUMIFS('Payroll Register'!R4:R23,'Payroll Register'!D4:D23,A8)</f>
        <v>5159.956923076923</v>
      </c>
      <c r="I8" s="130">
        <f>SUMIFS('Payroll Register'!X4:X23,'Payroll Register'!D4:D23,A8)</f>
        <v>1211.0369230769229</v>
      </c>
      <c r="J8" s="130">
        <f>SUMIFS('Payroll Register'!Y4:Y23,'Payroll Register'!D4:D23,A8)</f>
        <v>10054.967692307691</v>
      </c>
    </row>
    <row r="9" spans="1:10" ht="19.5" customHeight="1" x14ac:dyDescent="0.3">
      <c r="A9" s="138" t="s">
        <v>236</v>
      </c>
      <c r="B9" s="71">
        <f>COUNTIF('Payroll Register'!D4:D23,A9)</f>
        <v>2</v>
      </c>
      <c r="C9" s="133">
        <f>SUMIFS('Payroll Register'!M4:M23,'Payroll Register'!D4:D23,A9)</f>
        <v>6384.6153846153848</v>
      </c>
      <c r="D9" s="133">
        <f>SUMIFS('Payroll Register'!N4:N23,'Payroll Register'!D4:D23,A9)</f>
        <v>1055.0769230769233</v>
      </c>
      <c r="E9" s="133">
        <f>SUMIFS('Payroll Register'!O4:O23,'Payroll Register'!D4:D23,A9)</f>
        <v>395.85</v>
      </c>
      <c r="F9" s="133">
        <f>SUMIFS('Payroll Register'!P4:P23,'Payroll Register'!D4:D23,A9)</f>
        <v>92.58</v>
      </c>
      <c r="G9" s="133">
        <f>SUMIFS('Payroll Register'!Q4:Q23,'Payroll Register'!D4:D23,A9)</f>
        <v>350.52</v>
      </c>
      <c r="H9" s="133">
        <f>SUMIFS('Payroll Register'!R4:R23,'Payroll Register'!D4:D23,A9)</f>
        <v>1894.0269230769231</v>
      </c>
      <c r="I9" s="133">
        <f>SUMIFS('Payroll Register'!X4:X23,'Payroll Register'!D4:D23,A9)</f>
        <v>472.11692307692306</v>
      </c>
      <c r="J9" s="133">
        <f>SUMIFS('Payroll Register'!Y4:Y23,'Payroll Register'!D4:D23,A9)</f>
        <v>4018.4715384615392</v>
      </c>
    </row>
    <row r="10" spans="1:10" ht="21.75" customHeight="1" x14ac:dyDescent="0.3">
      <c r="A10" s="27" t="s">
        <v>587</v>
      </c>
      <c r="B10" s="74">
        <f t="shared" ref="B10:J10" si="0">SUM(B4:B9)</f>
        <v>20</v>
      </c>
      <c r="C10" s="75">
        <f t="shared" si="0"/>
        <v>63678.105769230766</v>
      </c>
      <c r="D10" s="75">
        <f t="shared" si="0"/>
        <v>10896.644807692308</v>
      </c>
      <c r="E10" s="75">
        <f t="shared" si="0"/>
        <v>3948.0499999999997</v>
      </c>
      <c r="F10" s="75">
        <f t="shared" si="0"/>
        <v>923.33</v>
      </c>
      <c r="G10" s="75">
        <f t="shared" si="0"/>
        <v>3495.93</v>
      </c>
      <c r="H10" s="75">
        <f t="shared" si="0"/>
        <v>19263.954807692306</v>
      </c>
      <c r="I10" s="75">
        <f t="shared" si="0"/>
        <v>4249.9307692307684</v>
      </c>
      <c r="J10" s="75">
        <f t="shared" si="0"/>
        <v>40164.220192307694</v>
      </c>
    </row>
    <row r="12" spans="1:10" ht="18" customHeight="1" x14ac:dyDescent="0.3">
      <c r="A12" s="188" t="s">
        <v>239</v>
      </c>
      <c r="B12" s="188"/>
      <c r="C12" s="188"/>
      <c r="D12" s="188"/>
      <c r="E12" s="188"/>
      <c r="F12" s="188"/>
      <c r="G12" s="188"/>
      <c r="H12" s="188"/>
      <c r="I12" s="188"/>
      <c r="J12" s="188"/>
    </row>
    <row r="13" spans="1:10" ht="13.5" customHeight="1" x14ac:dyDescent="0.3">
      <c r="A13" s="165" t="s">
        <v>240</v>
      </c>
      <c r="B13" s="165"/>
      <c r="C13" s="165"/>
      <c r="D13" s="165"/>
      <c r="E13" s="165"/>
      <c r="F13" s="165"/>
      <c r="G13" s="165"/>
      <c r="H13" s="165"/>
      <c r="I13" s="165"/>
      <c r="J13" s="165"/>
    </row>
  </sheetData>
  <sheetProtection algorithmName="SHA-512" hashValue="JTJrWquXzgD6wccVYhZgOMMKjfs8POYt3SFihkcdcqW88+YvwT0nLV7VzSI8rYD7k6IP4LBnSff2m6ReET5adg==" saltValue="ALnPszgMboudXvooh8hxqg==" spinCount="100000" sheet="1" objects="1" scenarios="1"/>
  <mergeCells count="4">
    <mergeCell ref="A1:J1"/>
    <mergeCell ref="A2:J2"/>
    <mergeCell ref="A12:J12"/>
    <mergeCell ref="A13:J13"/>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5A5A6"/>
  </sheetPr>
  <dimension ref="A1:F18"/>
  <sheetViews>
    <sheetView showGridLines="0" zoomScaleNormal="100" workbookViewId="0">
      <selection sqref="A1:F1"/>
    </sheetView>
  </sheetViews>
  <sheetFormatPr defaultColWidth="8.6640625" defaultRowHeight="14.4" x14ac:dyDescent="0.3"/>
  <cols>
    <col min="1" max="1" width="24" style="15" customWidth="1"/>
    <col min="2" max="2" width="16" style="15" customWidth="1"/>
    <col min="3" max="4" width="52" style="15" customWidth="1"/>
    <col min="5" max="5" width="28" style="15" customWidth="1"/>
    <col min="6" max="6" width="38" style="15" customWidth="1"/>
  </cols>
  <sheetData>
    <row r="1" spans="1:6" ht="25.5" customHeight="1" x14ac:dyDescent="0.3">
      <c r="A1" s="213" t="s">
        <v>588</v>
      </c>
      <c r="B1" s="213"/>
      <c r="C1" s="213"/>
      <c r="D1" s="213"/>
      <c r="E1" s="213"/>
      <c r="F1" s="213"/>
    </row>
    <row r="2" spans="1:6" ht="27.75" customHeight="1" x14ac:dyDescent="0.3">
      <c r="A2" s="27" t="s">
        <v>589</v>
      </c>
      <c r="B2" s="27" t="s">
        <v>590</v>
      </c>
      <c r="C2" s="27" t="s">
        <v>591</v>
      </c>
      <c r="D2" s="27" t="s">
        <v>592</v>
      </c>
      <c r="E2" s="27" t="s">
        <v>593</v>
      </c>
      <c r="F2" s="27" t="s">
        <v>594</v>
      </c>
    </row>
    <row r="3" spans="1:6" ht="49.5" customHeight="1" x14ac:dyDescent="0.3">
      <c r="A3" s="218" t="s">
        <v>595</v>
      </c>
      <c r="B3" s="219" t="s">
        <v>596</v>
      </c>
      <c r="C3" s="219" t="s">
        <v>597</v>
      </c>
      <c r="D3" s="219" t="s">
        <v>598</v>
      </c>
      <c r="E3" s="219" t="s">
        <v>245</v>
      </c>
      <c r="F3" s="219" t="s">
        <v>599</v>
      </c>
    </row>
    <row r="4" spans="1:6" ht="49.5" customHeight="1" x14ac:dyDescent="0.3">
      <c r="A4" s="220" t="s">
        <v>600</v>
      </c>
      <c r="B4" s="221" t="s">
        <v>601</v>
      </c>
      <c r="C4" s="221" t="s">
        <v>602</v>
      </c>
      <c r="D4" s="221" t="s">
        <v>603</v>
      </c>
      <c r="E4" s="221" t="s">
        <v>604</v>
      </c>
      <c r="F4" s="221" t="s">
        <v>605</v>
      </c>
    </row>
    <row r="5" spans="1:6" ht="49.5" customHeight="1" x14ac:dyDescent="0.3">
      <c r="A5" s="218" t="s">
        <v>606</v>
      </c>
      <c r="B5" s="219" t="s">
        <v>601</v>
      </c>
      <c r="C5" s="219" t="s">
        <v>607</v>
      </c>
      <c r="D5" s="219" t="s">
        <v>608</v>
      </c>
      <c r="E5" s="219" t="s">
        <v>609</v>
      </c>
      <c r="F5" s="219" t="s">
        <v>610</v>
      </c>
    </row>
    <row r="6" spans="1:6" ht="49.5" customHeight="1" x14ac:dyDescent="0.3">
      <c r="A6" s="220" t="s">
        <v>611</v>
      </c>
      <c r="B6" s="221" t="s">
        <v>612</v>
      </c>
      <c r="C6" s="221" t="s">
        <v>613</v>
      </c>
      <c r="D6" s="221" t="s">
        <v>614</v>
      </c>
      <c r="E6" s="221" t="s">
        <v>615</v>
      </c>
      <c r="F6" s="221" t="s">
        <v>616</v>
      </c>
    </row>
    <row r="7" spans="1:6" ht="49.5" customHeight="1" x14ac:dyDescent="0.3">
      <c r="A7" s="218" t="s">
        <v>617</v>
      </c>
      <c r="B7" s="219" t="s">
        <v>612</v>
      </c>
      <c r="C7" s="219" t="s">
        <v>618</v>
      </c>
      <c r="D7" s="219" t="s">
        <v>619</v>
      </c>
      <c r="E7" s="219" t="s">
        <v>620</v>
      </c>
      <c r="F7" s="219" t="s">
        <v>621</v>
      </c>
    </row>
    <row r="8" spans="1:6" ht="49.5" customHeight="1" x14ac:dyDescent="0.3">
      <c r="A8" s="220" t="s">
        <v>622</v>
      </c>
      <c r="B8" s="221" t="s">
        <v>623</v>
      </c>
      <c r="C8" s="221" t="s">
        <v>624</v>
      </c>
      <c r="D8" s="221" t="s">
        <v>625</v>
      </c>
      <c r="E8" s="221" t="s">
        <v>626</v>
      </c>
      <c r="F8" s="221" t="s">
        <v>627</v>
      </c>
    </row>
    <row r="9" spans="1:6" ht="49.5" customHeight="1" x14ac:dyDescent="0.3">
      <c r="A9" s="218" t="s">
        <v>628</v>
      </c>
      <c r="B9" s="219" t="s">
        <v>623</v>
      </c>
      <c r="C9" s="219" t="s">
        <v>629</v>
      </c>
      <c r="D9" s="219" t="s">
        <v>630</v>
      </c>
      <c r="E9" s="219" t="s">
        <v>626</v>
      </c>
      <c r="F9" s="219" t="s">
        <v>631</v>
      </c>
    </row>
    <row r="10" spans="1:6" ht="49.5" customHeight="1" x14ac:dyDescent="0.3">
      <c r="A10" s="220" t="s">
        <v>632</v>
      </c>
      <c r="B10" s="221" t="s">
        <v>633</v>
      </c>
      <c r="C10" s="221" t="s">
        <v>634</v>
      </c>
      <c r="D10" s="221" t="s">
        <v>635</v>
      </c>
      <c r="E10" s="221" t="s">
        <v>636</v>
      </c>
      <c r="F10" s="221" t="s">
        <v>637</v>
      </c>
    </row>
    <row r="11" spans="1:6" ht="49.5" customHeight="1" x14ac:dyDescent="0.3">
      <c r="A11" s="218" t="s">
        <v>638</v>
      </c>
      <c r="B11" s="219" t="s">
        <v>228</v>
      </c>
      <c r="C11" s="219" t="s">
        <v>639</v>
      </c>
      <c r="D11" s="219" t="s">
        <v>640</v>
      </c>
      <c r="E11" s="219" t="s">
        <v>641</v>
      </c>
      <c r="F11" s="219" t="s">
        <v>642</v>
      </c>
    </row>
    <row r="12" spans="1:6" ht="49.5" customHeight="1" x14ac:dyDescent="0.3">
      <c r="A12" s="220" t="s">
        <v>643</v>
      </c>
      <c r="B12" s="221" t="s">
        <v>644</v>
      </c>
      <c r="C12" s="221" t="s">
        <v>645</v>
      </c>
      <c r="D12" s="221" t="s">
        <v>646</v>
      </c>
      <c r="E12" s="221" t="s">
        <v>647</v>
      </c>
      <c r="F12" s="221" t="s">
        <v>648</v>
      </c>
    </row>
    <row r="13" spans="1:6" ht="49.5" customHeight="1" x14ac:dyDescent="0.3">
      <c r="A13" s="218" t="s">
        <v>649</v>
      </c>
      <c r="B13" s="219" t="s">
        <v>650</v>
      </c>
      <c r="C13" s="219" t="s">
        <v>651</v>
      </c>
      <c r="D13" s="219" t="s">
        <v>652</v>
      </c>
      <c r="E13" s="219" t="s">
        <v>653</v>
      </c>
      <c r="F13" s="219" t="s">
        <v>654</v>
      </c>
    </row>
    <row r="14" spans="1:6" ht="49.5" customHeight="1" x14ac:dyDescent="0.3">
      <c r="A14" s="220" t="s">
        <v>655</v>
      </c>
      <c r="B14" s="221" t="s">
        <v>623</v>
      </c>
      <c r="C14" s="221" t="s">
        <v>656</v>
      </c>
      <c r="D14" s="221" t="s">
        <v>657</v>
      </c>
      <c r="E14" s="221" t="s">
        <v>658</v>
      </c>
      <c r="F14" s="221" t="s">
        <v>659</v>
      </c>
    </row>
    <row r="15" spans="1:6" ht="49.5" customHeight="1" x14ac:dyDescent="0.3">
      <c r="A15" s="218" t="s">
        <v>660</v>
      </c>
      <c r="B15" s="219" t="s">
        <v>661</v>
      </c>
      <c r="C15" s="219" t="s">
        <v>662</v>
      </c>
      <c r="D15" s="219" t="s">
        <v>663</v>
      </c>
      <c r="E15" s="219" t="s">
        <v>664</v>
      </c>
      <c r="F15" s="219" t="s">
        <v>665</v>
      </c>
    </row>
    <row r="17" spans="1:6" ht="18" customHeight="1" x14ac:dyDescent="0.3">
      <c r="A17" s="188" t="s">
        <v>239</v>
      </c>
      <c r="B17" s="188"/>
      <c r="C17" s="188"/>
      <c r="D17" s="188"/>
      <c r="E17" s="188"/>
      <c r="F17" s="188"/>
    </row>
    <row r="18" spans="1:6" ht="13.5" customHeight="1" x14ac:dyDescent="0.3">
      <c r="A18" s="165" t="s">
        <v>240</v>
      </c>
      <c r="B18" s="165"/>
      <c r="C18" s="165"/>
      <c r="D18" s="165"/>
      <c r="E18" s="165"/>
      <c r="F18" s="165"/>
    </row>
  </sheetData>
  <sheetProtection algorithmName="SHA-512" hashValue="wgxQsrVLnL2o+w5euLiiG8pK0xDMT8V32+w97UECtIziV60sy266aABOOJ5Tq3aUQ92KjkN/GYUYB9yiavcNpQ==" saltValue="R4FN2d0LJd0KmKfeZ3tnqQ==" spinCount="100000" sheet="1" objects="1" scenarios="1"/>
  <mergeCells count="3">
    <mergeCell ref="A1:F1"/>
    <mergeCell ref="A17:F17"/>
    <mergeCell ref="A18:F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Project Summary</vt:lpstr>
      <vt:lpstr>Before vs After</vt:lpstr>
      <vt:lpstr>Formula Showcase</vt:lpstr>
      <vt:lpstr>Dashboard</vt:lpstr>
      <vt:lpstr>YTD Summary</vt:lpstr>
      <vt:lpstr>Employee Master</vt:lpstr>
      <vt:lpstr>Payroll Register</vt:lpstr>
      <vt:lpstr>Prior YTD (Jan-May)</vt:lpstr>
      <vt:lpstr>Tax Tables</vt:lpstr>
      <vt:lpstr>Deductions Schedule</vt:lpstr>
      <vt:lpstr>Dept Summary</vt:lpstr>
      <vt:lpstr>Formula 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Muhammad</cp:lastModifiedBy>
  <cp:revision>0</cp:revision>
  <dcterms:created xsi:type="dcterms:W3CDTF">2026-06-02T12:43:36Z</dcterms:created>
  <dcterms:modified xsi:type="dcterms:W3CDTF">2026-06-09T05:10:20Z</dcterms:modified>
  <dc:language>en-US</dc:language>
</cp:coreProperties>
</file>