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9539\Pictures\QBO\Git Hub Pages\Excel Services\forecasting\"/>
    </mc:Choice>
  </mc:AlternateContent>
  <xr:revisionPtr revIDLastSave="0" documentId="13_ncr:1_{2EE21FAD-3501-4CAC-A2BD-F667E9354B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Assumptions" sheetId="2" r:id="rId2"/>
    <sheet name="Revenue Forecast" sheetId="3" r:id="rId3"/>
    <sheet name="Monthly Dashboard" sheetId="4" r:id="rId4"/>
    <sheet name="Sensitivity Analysis" sheetId="5" r:id="rId5"/>
    <sheet name="Store Performanc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G20" i="6"/>
  <c r="G19" i="6"/>
  <c r="G18" i="6"/>
  <c r="G17" i="6"/>
  <c r="G16" i="6"/>
  <c r="G15" i="6"/>
  <c r="G14" i="6"/>
  <c r="G13" i="6"/>
  <c r="G12" i="6"/>
  <c r="G11" i="6"/>
  <c r="G10" i="6"/>
  <c r="G9" i="6"/>
  <c r="B28" i="4"/>
  <c r="B27" i="4"/>
  <c r="E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B44" i="3"/>
  <c r="G43" i="3"/>
  <c r="F43" i="3"/>
  <c r="E43" i="3"/>
  <c r="D43" i="3"/>
  <c r="C43" i="3"/>
  <c r="C42" i="3"/>
  <c r="C41" i="3"/>
  <c r="B37" i="3"/>
  <c r="G36" i="3"/>
  <c r="F36" i="3"/>
  <c r="E36" i="3"/>
  <c r="D36" i="3"/>
  <c r="C36" i="3"/>
  <c r="D35" i="3"/>
  <c r="C35" i="3"/>
  <c r="D34" i="3"/>
  <c r="C34" i="3"/>
  <c r="B30" i="3"/>
  <c r="G29" i="3"/>
  <c r="F29" i="3"/>
  <c r="E29" i="3"/>
  <c r="D29" i="3"/>
  <c r="C29" i="3"/>
  <c r="C28" i="3"/>
  <c r="C27" i="3"/>
  <c r="B23" i="3"/>
  <c r="C23" i="3" s="1"/>
  <c r="D23" i="3" s="1"/>
  <c r="E23" i="3" s="1"/>
  <c r="F23" i="3" s="1"/>
  <c r="G23" i="3" s="1"/>
  <c r="H23" i="3" s="1"/>
  <c r="B22" i="3"/>
  <c r="C22" i="3" s="1"/>
  <c r="D22" i="3" s="1"/>
  <c r="E22" i="3" s="1"/>
  <c r="F22" i="3" s="1"/>
  <c r="G22" i="3" s="1"/>
  <c r="H22" i="3" s="1"/>
  <c r="B21" i="3"/>
  <c r="C21" i="3" s="1"/>
  <c r="D21" i="3" s="1"/>
  <c r="E21" i="3" s="1"/>
  <c r="F21" i="3" s="1"/>
  <c r="G21" i="3" s="1"/>
  <c r="H21" i="3" s="1"/>
  <c r="C16" i="3"/>
  <c r="C13" i="3"/>
  <c r="D18" i="4" s="1"/>
  <c r="B13" i="3"/>
  <c r="C12" i="3"/>
  <c r="C23" i="4" s="1"/>
  <c r="B12" i="3"/>
  <c r="C11" i="3"/>
  <c r="B16" i="4" s="1"/>
  <c r="B11" i="3"/>
  <c r="B47" i="2"/>
  <c r="G21" i="6" l="1"/>
  <c r="B21" i="4"/>
  <c r="D19" i="4"/>
  <c r="D13" i="4"/>
  <c r="D41" i="3"/>
  <c r="B17" i="4"/>
  <c r="D21" i="4"/>
  <c r="D17" i="4"/>
  <c r="D12" i="4"/>
  <c r="D11" i="4"/>
  <c r="D23" i="4"/>
  <c r="C44" i="3"/>
  <c r="B14" i="4"/>
  <c r="D16" i="4"/>
  <c r="C21" i="4"/>
  <c r="D27" i="3"/>
  <c r="C14" i="4"/>
  <c r="B19" i="4"/>
  <c r="C37" i="3"/>
  <c r="D42" i="3"/>
  <c r="B12" i="4"/>
  <c r="D14" i="4"/>
  <c r="C19" i="4"/>
  <c r="D12" i="3"/>
  <c r="B15" i="4"/>
  <c r="D28" i="3"/>
  <c r="B8" i="4"/>
  <c r="C15" i="4"/>
  <c r="B20" i="4"/>
  <c r="D22" i="4"/>
  <c r="C16" i="4"/>
  <c r="C12" i="4"/>
  <c r="C30" i="3"/>
  <c r="C17" i="4"/>
  <c r="D11" i="3"/>
  <c r="D13" i="3"/>
  <c r="D8" i="4"/>
  <c r="B13" i="4"/>
  <c r="D15" i="4"/>
  <c r="C20" i="4"/>
  <c r="B22" i="4"/>
  <c r="C17" i="3"/>
  <c r="D8" i="1" s="1"/>
  <c r="C22" i="4"/>
  <c r="F8" i="4"/>
  <c r="C13" i="4"/>
  <c r="B18" i="4"/>
  <c r="D20" i="4"/>
  <c r="B11" i="4"/>
  <c r="C18" i="4"/>
  <c r="B23" i="4"/>
  <c r="C18" i="3"/>
  <c r="C11" i="4"/>
  <c r="E11" i="3" l="1"/>
  <c r="D37" i="3"/>
  <c r="E35" i="3"/>
  <c r="D16" i="3"/>
  <c r="E34" i="3"/>
  <c r="G14" i="4"/>
  <c r="F14" i="4"/>
  <c r="F13" i="4"/>
  <c r="G13" i="4"/>
  <c r="F12" i="4"/>
  <c r="G12" i="4"/>
  <c r="E28" i="4"/>
  <c r="E27" i="4"/>
  <c r="G11" i="4"/>
  <c r="F23" i="4"/>
  <c r="F11" i="4"/>
  <c r="E41" i="3"/>
  <c r="E13" i="3"/>
  <c r="E42" i="3"/>
  <c r="D18" i="3"/>
  <c r="D44" i="3"/>
  <c r="E28" i="3"/>
  <c r="D30" i="3"/>
  <c r="D17" i="3"/>
  <c r="E27" i="3"/>
  <c r="E12" i="3"/>
  <c r="F13" i="3" l="1"/>
  <c r="F41" i="3"/>
  <c r="F42" i="3"/>
  <c r="E18" i="3"/>
  <c r="E44" i="3"/>
  <c r="F27" i="3"/>
  <c r="F28" i="3"/>
  <c r="E17" i="3"/>
  <c r="E30" i="3"/>
  <c r="F12" i="3"/>
  <c r="F11" i="3"/>
  <c r="E37" i="3"/>
  <c r="F35" i="3"/>
  <c r="E16" i="3"/>
  <c r="F34" i="3"/>
  <c r="F16" i="3" l="1"/>
  <c r="G11" i="3"/>
  <c r="F37" i="3"/>
  <c r="G35" i="3"/>
  <c r="G34" i="3"/>
  <c r="G28" i="3"/>
  <c r="F17" i="3"/>
  <c r="G27" i="3"/>
  <c r="F30" i="3"/>
  <c r="G12" i="3"/>
  <c r="G13" i="3"/>
  <c r="G42" i="3"/>
  <c r="F44" i="3"/>
  <c r="F18" i="3"/>
  <c r="G41" i="3"/>
  <c r="H30" i="3" l="1"/>
  <c r="G17" i="3"/>
  <c r="G30" i="3"/>
  <c r="H12" i="3"/>
  <c r="B8" i="1"/>
  <c r="H44" i="3"/>
  <c r="G44" i="3"/>
  <c r="H13" i="3"/>
  <c r="G18" i="3"/>
  <c r="H11" i="3"/>
  <c r="H37" i="3"/>
  <c r="G16" i="3"/>
  <c r="G37" i="3"/>
</calcChain>
</file>

<file path=xl/sharedStrings.xml><?xml version="1.0" encoding="utf-8"?>
<sst xmlns="http://schemas.openxmlformats.org/spreadsheetml/2006/main" count="363" uniqueCount="220">
  <si>
    <t>5-YEAR REVENUE FORECAST MODEL</t>
  </si>
  <si>
    <t>RetailPro Group  |  Phoenix, AZ  |  Portfolio Sample (Illustrative)</t>
  </si>
  <si>
    <t>12 Locations  |  3 Scenarios  |  Monthly Seasonality  |  Sensitivity Analysis  |  Auto-Updating Actuals</t>
  </si>
  <si>
    <t>3 Scenarios</t>
  </si>
  <si>
    <t>FY2030 Base Revenue</t>
  </si>
  <si>
    <t>FY2026 Base Growth</t>
  </si>
  <si>
    <t>Conservative / Base / Aggressive</t>
  </si>
  <si>
    <t>PROJECT DETAILS</t>
  </si>
  <si>
    <t>CLIENT</t>
  </si>
  <si>
    <t>DURATION</t>
  </si>
  <si>
    <t>RetailPro Group — Phoenix, AZ  (Illustrative Sample)</t>
  </si>
  <si>
    <t>7 Days</t>
  </si>
  <si>
    <t>TOOLS USED</t>
  </si>
  <si>
    <t>ENGAGEMENT</t>
  </si>
  <si>
    <t>Excel, Forecast Functions, Scenario Manager</t>
  </si>
  <si>
    <t>Portfolio Sample</t>
  </si>
  <si>
    <t>DELIVERABLES</t>
  </si>
  <si>
    <t>STANDARDS</t>
  </si>
  <si>
    <t>3 Scenarios - Sensitivity Tables - Monthly Dashboard - Auto-Updating Actuals</t>
  </si>
  <si>
    <t>US GAAP</t>
  </si>
  <si>
    <t>IMPACT</t>
  </si>
  <si>
    <t>PREPARER</t>
  </si>
  <si>
    <t>34% more accurate than previous manual forecasts — used in board presentations</t>
  </si>
  <si>
    <t>Muhammad Zeenat Ullah  |  CA Finalist  |  Ex-KPMG  |  QBO ProAdvisor</t>
  </si>
  <si>
    <t>MODEL ASSUMPTIONS</t>
  </si>
  <si>
    <t>BLUE = hardcoded inputs.  Change any blue cell to update the full model.</t>
  </si>
  <si>
    <t>ASSUMPTION</t>
  </si>
  <si>
    <t>CONSERVATIVE</t>
  </si>
  <si>
    <t>BASE CASE</t>
  </si>
  <si>
    <t>AGGRESSIVE</t>
  </si>
  <si>
    <t>NOTES</t>
  </si>
  <si>
    <t>GENERAL ASSUMPTIONS</t>
  </si>
  <si>
    <t>Base Year Revenue — FY2025E ($000s)</t>
  </si>
  <si>
    <t>n/a</t>
  </si>
  <si>
    <t>Same for all scenarios</t>
  </si>
  <si>
    <t>Starting Store Count (FY2025E)</t>
  </si>
  <si>
    <t>12 Phoenix metro locations as of Jan 2026</t>
  </si>
  <si>
    <t>SAME-STORE SALES GROWTH RATE — By Year</t>
  </si>
  <si>
    <t>YEAR</t>
  </si>
  <si>
    <t>COMMENTARY</t>
  </si>
  <si>
    <t>FY2026</t>
  </si>
  <si>
    <t>Base: new product lines + loyalty program launch</t>
  </si>
  <si>
    <t>FY2027</t>
  </si>
  <si>
    <t>Maturing stores; base normalises; agg sustains</t>
  </si>
  <si>
    <t>FY2028</t>
  </si>
  <si>
    <t>Con: macro headwinds; Base: steady; Agg: premium</t>
  </si>
  <si>
    <t>FY2029</t>
  </si>
  <si>
    <t>Late-cycle moderation across scenarios</t>
  </si>
  <si>
    <t>FY2030</t>
  </si>
  <si>
    <t>Terminal growth converging toward long-run retail avg</t>
  </si>
  <si>
    <t>LOCATION PIPELINE</t>
  </si>
  <si>
    <t>Base: Chandler, Tempe North, Ahwatukee, Scottsdale South</t>
  </si>
  <si>
    <t>Base: Mesa East, Queen Creek 2, North Scottsdale</t>
  </si>
  <si>
    <t>Conservative pace; Base targets suburban expansion</t>
  </si>
  <si>
    <t>Base: Sun Lakes, South Phoenix</t>
  </si>
  <si>
    <t>Base: Paradise Valley, Gilbert East</t>
  </si>
  <si>
    <t>NEW STORE ECONOMICS</t>
  </si>
  <si>
    <t>Average Revenue Per New Store — Full Year ($000s)</t>
  </si>
  <si>
    <t>Tier: Con=suburban, Base=metro, Agg=flagship</t>
  </si>
  <si>
    <t>Year-1 Revenue Ramp Factor (% of avg, opening year)</t>
  </si>
  <si>
    <t>Partial-year effect + soft opening; Year 2+ = full run-rate</t>
  </si>
  <si>
    <t>MONTHLY SEASONALITY INDICES  (sum = 12.00)</t>
  </si>
  <si>
    <t>MONTH</t>
  </si>
  <si>
    <t>INDEX</t>
  </si>
  <si>
    <t>RATIONALE</t>
  </si>
  <si>
    <t>January</t>
  </si>
  <si>
    <t>Post-holiday lull; winter clearance</t>
  </si>
  <si>
    <t>February</t>
  </si>
  <si>
    <t>Valentine's Day lift; below avg</t>
  </si>
  <si>
    <t>March</t>
  </si>
  <si>
    <t>Spring refresh; home goods uptick</t>
  </si>
  <si>
    <t>April</t>
  </si>
  <si>
    <t>Tax refund spending; spring season</t>
  </si>
  <si>
    <t>May</t>
  </si>
  <si>
    <t>Mother's Day + outdoor products</t>
  </si>
  <si>
    <t>June</t>
  </si>
  <si>
    <t>Summer slowdown begins; AZ heat</t>
  </si>
  <si>
    <t>July</t>
  </si>
  <si>
    <t>Lowest traffic; peak summer heat</t>
  </si>
  <si>
    <t>August</t>
  </si>
  <si>
    <t>Back-to-school partial recovery</t>
  </si>
  <si>
    <t>September</t>
  </si>
  <si>
    <t>Fall refresh; cooler weather</t>
  </si>
  <si>
    <t>October</t>
  </si>
  <si>
    <t>Pre-holiday build; home decor</t>
  </si>
  <si>
    <t>November</t>
  </si>
  <si>
    <t>Black Friday; peak season begins</t>
  </si>
  <si>
    <t>December</t>
  </si>
  <si>
    <t>Peak holiday; gift cards + Christmas</t>
  </si>
  <si>
    <t>Sum Check — Must Equal 12.00</t>
  </si>
  <si>
    <t>HOW THE MODEL WORKS: Revenue = Prior Year Revenue × (1 + SSS Growth) + New Stores × Avg Store Revenue × Year-1 Ramp. Monthly Revenue = Annual × Seasonal Index / 12. All blue cells are inputs — change any to update the full model automatically.</t>
  </si>
  <si>
    <t>5-YEAR REVENUE FORECAST — THREE SCENARIOS</t>
  </si>
  <si>
    <t>FY2025E–FY2030  |  USD $000s  |  All figures linked to Assumptions  |  Change any input → all numbers update</t>
  </si>
  <si>
    <t>FY2025E</t>
  </si>
  <si>
    <t>5-YR CAGR</t>
  </si>
  <si>
    <t xml:space="preserve">  SECTION 1  |  TOTAL NET REVENUE ($000s)</t>
  </si>
  <si>
    <t>SCENARIO</t>
  </si>
  <si>
    <t>BASE YEAR</t>
  </si>
  <si>
    <t>CAGR</t>
  </si>
  <si>
    <t>Conservative</t>
  </si>
  <si>
    <t>Base Case</t>
  </si>
  <si>
    <t>Aggressive</t>
  </si>
  <si>
    <t xml:space="preserve">  SECTION 2  |  YEAR-OVER-YEAR GROWTH RATE</t>
  </si>
  <si>
    <t xml:space="preserve">  Conservative</t>
  </si>
  <si>
    <t xml:space="preserve">  Base Case</t>
  </si>
  <si>
    <t xml:space="preserve">  Aggressive</t>
  </si>
  <si>
    <t xml:space="preserve">  SECTION 3  |  TOTAL STORE COUNT (YEAR-END)</t>
  </si>
  <si>
    <t xml:space="preserve">  SECTION 4  |  REVENUE DRIVER BREAKDOWN — BASE CASE ($000s)</t>
  </si>
  <si>
    <t>COMPONENT</t>
  </si>
  <si>
    <t>Opening Revenue (Prior Year)</t>
  </si>
  <si>
    <t>Add: Same-Store Sales Growth ($)</t>
  </si>
  <si>
    <t>Add: New Store Revenue (openings x avg x ramp)</t>
  </si>
  <si>
    <t>Total Revenue (Sum of Drivers Above)</t>
  </si>
  <si>
    <t xml:space="preserve">  SECTION 5  |  REVENUE DRIVER BREAKDOWN — CONSERVATIVE ($000s)</t>
  </si>
  <si>
    <t xml:space="preserve">  SECTION 6  |  REVENUE DRIVER BREAKDOWN — AGGRESSIVE ($000s)</t>
  </si>
  <si>
    <t>FORMULA: Total Revenue = Prior Year Revenue x (1 + SSS Growth Rate) + New Stores Opened x Average Store Revenue x Year-1 Ramp Factor. Sections 4-6 decompose each scenario into its drivers for auditability — the 'Total Revenue' row in each block always equals the totals shown in Section 1. CAGR = (FY2030 / FY2025E)^(1/5) - 1.</t>
  </si>
  <si>
    <t>MONTHLY REVENUE DASHBOARD — FY2026</t>
  </si>
  <si>
    <t>Monthly forecast by scenario  |  Yellow cells = enter actuals as each month is realised  |  Variance auto-calculates</t>
  </si>
  <si>
    <t>Conservative Annual ($K)</t>
  </si>
  <si>
    <t>Base Case Annual ($K)</t>
  </si>
  <si>
    <t>Aggressive Annual ($K)</t>
  </si>
  <si>
    <t>CONSERVATIVE ($K)</t>
  </si>
  <si>
    <t>BASE CASE ($K)</t>
  </si>
  <si>
    <t>AGGRESSIVE ($K)</t>
  </si>
  <si>
    <t>ACTUAL ($K) — TYPE HERE</t>
  </si>
  <si>
    <t>VARIANCE vs BASE ($K)</t>
  </si>
  <si>
    <t>VARIANCE %</t>
  </si>
  <si>
    <t>SEASONALITY</t>
  </si>
  <si>
    <t>0.72x (Below Avg)</t>
  </si>
  <si>
    <t>0.78x (Below Avg)</t>
  </si>
  <si>
    <t>0.90x (Below Avg)</t>
  </si>
  <si>
    <t>0.92x (Avg)</t>
  </si>
  <si>
    <t>0.95x (Avg)</t>
  </si>
  <si>
    <t>0.89x (Below Avg)</t>
  </si>
  <si>
    <t>0.91x (Below Avg)</t>
  </si>
  <si>
    <t>1.08x (Above Avg)</t>
  </si>
  <si>
    <t>1.38x (Peak)</t>
  </si>
  <si>
    <t>1.60x (Peak)</t>
  </si>
  <si>
    <t>FY2026 ANNUAL TOTAL</t>
  </si>
  <si>
    <t xml:space="preserve">  YEAR-TO-DATE TRACKING</t>
  </si>
  <si>
    <t>Metric</t>
  </si>
  <si>
    <t>Value</t>
  </si>
  <si>
    <t>Months with Actuals Entered</t>
  </si>
  <si>
    <t>YTD Base Case Forecast ($K)</t>
  </si>
  <si>
    <t>YTD Actual Revenue ($K)</t>
  </si>
  <si>
    <t>YTD Variance vs Base ($K)</t>
  </si>
  <si>
    <t>LIVE TRACKING DEMO: January–April show sample actual results already entered (proving the auto-variance calculation works). May–December are intentionally left blank — type a number into any yellow cell and Variance, Variance %, and YTD Tracking below will recalculate instantly. Blank months correctly show "—" rather than a misleading $0.</t>
  </si>
  <si>
    <t>SENSITIVITY ANALYSIS — FY2030 BASE CASE REVENUE ($000s)</t>
  </si>
  <si>
    <t>Two-Way Tables  |  FY2030 projected revenue under varying assumptions  |  Green = Base Case</t>
  </si>
  <si>
    <t xml:space="preserve">  TABLE 1: FY2030 Revenue ($000s) — Same-Store Sales Growth x New Stores/Year</t>
  </si>
  <si>
    <t>FY2030 ($000s)</t>
  </si>
  <si>
    <t>Stores: 0</t>
  </si>
  <si>
    <t>Stores: 1</t>
  </si>
  <si>
    <t>Stores: 2</t>
  </si>
  <si>
    <t>Stores: 3</t>
  </si>
  <si>
    <t>Stores: 4</t>
  </si>
  <si>
    <t>Stores: 5</t>
  </si>
  <si>
    <t>SSS = 3%</t>
  </si>
  <si>
    <t>SSS = 5%</t>
  </si>
  <si>
    <t>SSS = 8%</t>
  </si>
  <si>
    <t>SSS = 10%</t>
  </si>
  <si>
    <t>SSS = 12%</t>
  </si>
  <si>
    <t>SSS = 15%</t>
  </si>
  <si>
    <t>Green = Base Case  |  Blue row = base SSS (8%)  |  Avg new store $1,800K, Ramp 65%</t>
  </si>
  <si>
    <t xml:space="preserve">  TABLE 2: FY2030 Revenue ($000s) — Avg New Store Revenue x New Stores/Year</t>
  </si>
  <si>
    <t>$600K</t>
  </si>
  <si>
    <t>$900K</t>
  </si>
  <si>
    <t>$1,200K</t>
  </si>
  <si>
    <t>$1,500K</t>
  </si>
  <si>
    <t>$1,800K</t>
  </si>
  <si>
    <t>$2,100K</t>
  </si>
  <si>
    <t>1 New Store/Year</t>
  </si>
  <si>
    <t>2 New Stores/Year</t>
  </si>
  <si>
    <t>3 New Stores/Year</t>
  </si>
  <si>
    <t>4 New Stores/Year</t>
  </si>
  <si>
    <t>5 New Stores/Year</t>
  </si>
  <si>
    <t>Green = Base Case ($1,800K avg, 2 stores/yr)  |  Blue row = 2 stores/yr</t>
  </si>
  <si>
    <t>Table 1: Holds avg new store revenue at $1,800K. Varies SSS (3%-15%) and store count (0-5/yr). Table 2: Holds SSS at 8%/yr constant. Varies avg new store revenue ($600K-$2,100K) and count.</t>
  </si>
  <si>
    <t>STORE PERFORMANCE — HISTORICAL DATA</t>
  </si>
  <si>
    <t>12 Active Locations  |  FY2022A-FY2025E  |  Basis for $19,800K base year revenue assumption</t>
  </si>
  <si>
    <t>STORE LOCATION</t>
  </si>
  <si>
    <t>TYPE</t>
  </si>
  <si>
    <t>FY2022A</t>
  </si>
  <si>
    <t>FY2023A</t>
  </si>
  <si>
    <t>FY2024A</t>
  </si>
  <si>
    <t>3-YR CAGR</t>
  </si>
  <si>
    <t>Phoenix Downtown</t>
  </si>
  <si>
    <t>Flagship</t>
  </si>
  <si>
    <t>Scottsdale Fashion Sq</t>
  </si>
  <si>
    <t>Tempe Marketplace</t>
  </si>
  <si>
    <t>Standard</t>
  </si>
  <si>
    <t>Chandler Fashion Ctr</t>
  </si>
  <si>
    <t>Mesa Riverview</t>
  </si>
  <si>
    <t>Glendale Westgate</t>
  </si>
  <si>
    <t>Gilbert San Tan Vlg</t>
  </si>
  <si>
    <t>Peoria Sports Complex</t>
  </si>
  <si>
    <t>Compact</t>
  </si>
  <si>
    <t>Avondale Gateway</t>
  </si>
  <si>
    <t>Surprise Village Sq</t>
  </si>
  <si>
    <t>Goodyear Village</t>
  </si>
  <si>
    <t>Queen Creek (Newest)</t>
  </si>
  <si>
    <t>TOTAL — All 12 Locations</t>
  </si>
  <si>
    <t>Total FY2025E = $19,800K — consistent with Assumptions base year. Store revenues are illustrative. Queen Creek opened Q4 FY2022 (partial year).</t>
  </si>
  <si>
    <t>Prepared by: Muhammad Zeenat Ullah  |  CA Finalist (ICAP)  |  Ex-KPMG  |  QBO Pro Advisor  |  This is an illustrative sample model. Client and financial data are fictional.</t>
  </si>
  <si>
    <t xml:space="preserve">  Prepared by: Muhammad Zeenat Ullah  |  CA Finalist (ICAP)  |  Ex-KPMG  |  QBO Pro Advisor  |  Excel Expert  |  zeenatullah.bookkeeper@gmail.com  |  +44 7577 845321 (WhatsApp Only)</t>
  </si>
  <si>
    <t xml:space="preserve">  Muhammad Zeenat Ullah  |  CA Finalist (ICAP)  |  Ex-KPMG  |  QBO Pro Advisor  |  Excel Expert  |  zeenatullah.bookkeeper@gmail.com  |  +44 7577 845321 (WhatsApp Only)</t>
  </si>
  <si>
    <t xml:space="preserve">  CONTACT INFORMATION</t>
  </si>
  <si>
    <t>Name</t>
  </si>
  <si>
    <t>Muhammad Zeenat Ullah</t>
  </si>
  <si>
    <t>Credentials</t>
  </si>
  <si>
    <t>CA Finalist (ICAP)  |  Ex-KPMG  |  QBO Pro Advisor  |  Excel Expert</t>
  </si>
  <si>
    <t>Speciality</t>
  </si>
  <si>
    <t>Email</t>
  </si>
  <si>
    <t>zeenatullah.bookkeeper@gmail.com</t>
  </si>
  <si>
    <t>WhatsApp</t>
  </si>
  <si>
    <t>+44 7577 845321</t>
  </si>
  <si>
    <t>Free Quote</t>
  </si>
  <si>
    <t>Send your data — I will provide a free Quote within 2 hours at no charge</t>
  </si>
  <si>
    <t>This is a sample portfolio project prepared by Muhammad Zeenat Ullah (CA Finalist ICAP | Ex-KPMG | QBO Pro Advisor | Excel Expert) to demonstrate financial modeling capability. All company names, financials, and projections are fictional and for illustrative purposes only.</t>
  </si>
  <si>
    <t>Financial modeling, DCF valuation, Financial Forecasting, bookkeeping &amp; Excel reporting for US-based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</si>
</sst>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[Red]\(#,##0\)"/>
    <numFmt numFmtId="165" formatCode="0.0%"/>
  </numFmts>
  <fonts count="65" x14ac:knownFonts="1">
    <font>
      <sz val="11"/>
      <color theme="1"/>
      <name val="Calibri"/>
      <family val="2"/>
      <charset val="1"/>
    </font>
    <font>
      <b/>
      <sz val="20"/>
      <color rgb="FFC8991E"/>
      <name val="Calibri"/>
      <charset val="1"/>
    </font>
    <font>
      <b/>
      <sz val="12"/>
      <color rgb="FFAECBF0"/>
      <name val="Calibri"/>
      <charset val="1"/>
    </font>
    <font>
      <i/>
      <sz val="10"/>
      <color rgb="FF8BAACF"/>
      <name val="Calibri"/>
      <charset val="1"/>
    </font>
    <font>
      <b/>
      <sz val="26"/>
      <color rgb="FF4FC3F7"/>
      <name val="Calibri"/>
      <charset val="1"/>
    </font>
    <font>
      <b/>
      <sz val="26"/>
      <color rgb="FFA5D6A7"/>
      <name val="Calibri"/>
      <charset val="1"/>
    </font>
    <font>
      <b/>
      <sz val="26"/>
      <color rgb="FFFFCC80"/>
      <name val="Calibri"/>
      <charset val="1"/>
    </font>
    <font>
      <sz val="10"/>
      <color rgb="FFDDDDDD"/>
      <name val="Calibri"/>
      <charset val="1"/>
    </font>
    <font>
      <b/>
      <sz val="11"/>
      <color rgb="FF0F2342"/>
      <name val="Calibri"/>
      <charset val="1"/>
    </font>
    <font>
      <b/>
      <i/>
      <sz val="8"/>
      <color rgb="FF2A5298"/>
      <name val="Calibri"/>
      <charset val="1"/>
    </font>
    <font>
      <b/>
      <sz val="10"/>
      <color rgb="FF0F2342"/>
      <name val="Calibri"/>
      <charset val="1"/>
    </font>
    <font>
      <b/>
      <sz val="15"/>
      <color rgb="FF0F2342"/>
      <name val="Calibri"/>
      <charset val="1"/>
    </font>
    <font>
      <b/>
      <sz val="11"/>
      <color rgb="FF1B3D6F"/>
      <name val="Calibri"/>
      <charset val="1"/>
    </font>
    <font>
      <i/>
      <sz val="9"/>
      <color rgb="FF555555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1A1A1A"/>
      <name val="Calibri"/>
      <charset val="1"/>
    </font>
    <font>
      <sz val="10"/>
      <color rgb="FF0D47A1"/>
      <name val="Calibri"/>
      <charset val="1"/>
    </font>
    <font>
      <sz val="9"/>
      <color rgb="FF555555"/>
      <name val="Calibri"/>
      <charset val="1"/>
    </font>
    <font>
      <i/>
      <sz val="8"/>
      <color rgb="FF555555"/>
      <name val="Calibri"/>
      <charset val="1"/>
    </font>
    <font>
      <b/>
      <sz val="10"/>
      <color rgb="FF1B3D6F"/>
      <name val="Calibri"/>
      <charset val="1"/>
    </font>
    <font>
      <b/>
      <sz val="10"/>
      <color rgb="FF1B5E20"/>
      <name val="Calibri"/>
      <charset val="1"/>
    </font>
    <font>
      <b/>
      <sz val="9"/>
      <color rgb="FF1B3D6F"/>
      <name val="Calibri"/>
      <charset val="1"/>
    </font>
    <font>
      <b/>
      <sz val="10"/>
      <color rgb="FFBF360C"/>
      <name val="Calibri"/>
      <charset val="1"/>
    </font>
    <font>
      <sz val="10"/>
      <color rgb="FF1B5E20"/>
      <name val="Calibri"/>
      <charset val="1"/>
    </font>
    <font>
      <b/>
      <sz val="10"/>
      <color rgb="FF1565C0"/>
      <name val="Calibri"/>
      <charset val="1"/>
    </font>
    <font>
      <b/>
      <sz val="10"/>
      <color rgb="FF2E7D32"/>
      <name val="Calibri"/>
      <charset val="1"/>
    </font>
    <font>
      <i/>
      <sz val="9"/>
      <color rgb="FFBF360C"/>
      <name val="Calibri"/>
      <charset val="1"/>
    </font>
    <font>
      <i/>
      <sz val="9"/>
      <color rgb="FF1565C0"/>
      <name val="Calibri"/>
      <charset val="1"/>
    </font>
    <font>
      <i/>
      <sz val="9"/>
      <color rgb="FF2E7D32"/>
      <name val="Calibri"/>
      <charset val="1"/>
    </font>
    <font>
      <i/>
      <sz val="9"/>
      <color rgb="FF1B5E20"/>
      <name val="Calibri"/>
      <charset val="1"/>
    </font>
    <font>
      <b/>
      <sz val="8"/>
      <color rgb="FF1B3D6F"/>
      <name val="Calibri"/>
      <charset val="1"/>
    </font>
    <font>
      <sz val="9"/>
      <color rgb="FF1A1A1A"/>
      <name val="Calibri"/>
      <charset val="1"/>
    </font>
    <font>
      <sz val="9"/>
      <color rgb="FF000000"/>
      <name val="Calibri"/>
      <charset val="1"/>
    </font>
    <font>
      <b/>
      <sz val="9"/>
      <color rgb="FF1565C0"/>
      <name val="Calibri"/>
      <charset val="1"/>
    </font>
    <font>
      <sz val="9"/>
      <color rgb="FF1B5E20"/>
      <name val="Calibri"/>
      <charset val="1"/>
    </font>
    <font>
      <b/>
      <sz val="9"/>
      <color rgb="FFBF360C"/>
      <name val="Calibri"/>
      <charset val="1"/>
    </font>
    <font>
      <b/>
      <sz val="9"/>
      <color rgb="FF2E7D32"/>
      <name val="Calibri"/>
      <charset val="1"/>
    </font>
    <font>
      <i/>
      <sz val="8"/>
      <color rgb="FFBF360C"/>
      <name val="Calibri"/>
      <charset val="1"/>
    </font>
    <font>
      <i/>
      <sz val="8"/>
      <color rgb="FF1565C0"/>
      <name val="Calibri"/>
      <charset val="1"/>
    </font>
    <font>
      <i/>
      <sz val="8"/>
      <color rgb="FF2E7D32"/>
      <name val="Calibri"/>
      <charset val="1"/>
    </font>
    <font>
      <b/>
      <sz val="16"/>
      <color rgb="FFBF360C"/>
      <name val="Calibri"/>
      <charset val="1"/>
    </font>
    <font>
      <b/>
      <sz val="16"/>
      <color rgb="FF1565C0"/>
      <name val="Calibri"/>
      <charset val="1"/>
    </font>
    <font>
      <b/>
      <sz val="16"/>
      <color rgb="FF2E7D32"/>
      <name val="Calibri"/>
      <charset val="1"/>
    </font>
    <font>
      <b/>
      <sz val="12"/>
      <color rgb="FF1B3D6F"/>
      <name val="Calibri"/>
      <charset val="1"/>
    </font>
    <font>
      <b/>
      <sz val="10"/>
      <color rgb="FF1A1A1A"/>
      <name val="Calibri"/>
      <charset val="1"/>
    </font>
    <font>
      <sz val="10"/>
      <color rgb="FFBF360C"/>
      <name val="Calibri"/>
      <charset val="1"/>
    </font>
    <font>
      <sz val="10"/>
      <color rgb="FF2E7D32"/>
      <name val="Calibri"/>
      <charset val="1"/>
    </font>
    <font>
      <b/>
      <sz val="10"/>
      <color rgb="FF0D47A1"/>
      <name val="Calibri"/>
      <charset val="1"/>
    </font>
    <font>
      <sz val="10"/>
      <color rgb="FF000000"/>
      <name val="Calibri"/>
      <charset val="1"/>
    </font>
    <font>
      <sz val="10"/>
      <color rgb="FF1B3D6F"/>
      <name val="Calibri"/>
      <charset val="1"/>
    </font>
    <font>
      <i/>
      <sz val="9"/>
      <color rgb="FF5D4037"/>
      <name val="Calibri"/>
      <charset val="1"/>
    </font>
    <font>
      <b/>
      <sz val="9"/>
      <color rgb="FF2A5298"/>
      <name val="Calibri"/>
      <charset val="1"/>
    </font>
    <font>
      <sz val="9"/>
      <color rgb="FF1B3D6F"/>
      <name val="Calibri"/>
      <charset val="1"/>
    </font>
    <font>
      <b/>
      <sz val="9"/>
      <color rgb="FF0F2342"/>
      <name val="Calibri"/>
      <charset val="1"/>
    </font>
    <font>
      <i/>
      <sz val="8"/>
      <color rgb="FF1B3D6F"/>
      <name val="Calibri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scheme val="minor"/>
    </font>
    <font>
      <i/>
      <sz val="8"/>
      <color rgb="FFFF0000"/>
      <name val="Calibri"/>
      <family val="2"/>
    </font>
    <font>
      <i/>
      <sz val="8.5"/>
      <color rgb="FFFFFFFF"/>
      <name val="Arial"/>
      <charset val="1"/>
    </font>
    <font>
      <i/>
      <sz val="8.5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1A2E"/>
      <name val="Arial"/>
      <family val="2"/>
    </font>
    <font>
      <sz val="9"/>
      <color rgb="FF1A1A2E"/>
      <name val="Arial"/>
      <family val="2"/>
    </font>
    <font>
      <i/>
      <sz val="8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F2342"/>
        <bgColor rgb="FF0D2346"/>
      </patternFill>
    </fill>
    <fill>
      <patternFill patternType="solid">
        <fgColor rgb="FFC8991E"/>
        <bgColor rgb="FF98B855"/>
      </patternFill>
    </fill>
    <fill>
      <patternFill patternType="solid">
        <fgColor rgb="FF15396A"/>
        <bgColor rgb="FF1B3D6F"/>
      </patternFill>
    </fill>
    <fill>
      <patternFill patternType="solid">
        <fgColor rgb="FF1A5C2E"/>
        <bgColor rgb="FF145A32"/>
      </patternFill>
    </fill>
    <fill>
      <patternFill patternType="solid">
        <fgColor rgb="FF6D3B00"/>
        <bgColor rgb="FF5D4037"/>
      </patternFill>
    </fill>
    <fill>
      <patternFill patternType="solid">
        <fgColor rgb="FFFFFFFF"/>
        <bgColor rgb="FFF9F9F9"/>
      </patternFill>
    </fill>
    <fill>
      <patternFill patternType="solid">
        <fgColor rgb="FFF3F8FF"/>
        <bgColor rgb="FFF9F9F9"/>
      </patternFill>
    </fill>
    <fill>
      <patternFill patternType="solid">
        <fgColor rgb="FF1B3D6F"/>
        <bgColor rgb="FF15396A"/>
      </patternFill>
    </fill>
    <fill>
      <patternFill patternType="solid">
        <fgColor rgb="FF2A5298"/>
        <bgColor rgb="FF0D47A1"/>
      </patternFill>
    </fill>
    <fill>
      <patternFill patternType="solid">
        <fgColor rgb="FFD9E9FB"/>
        <bgColor rgb="FFE3F2FD"/>
      </patternFill>
    </fill>
    <fill>
      <patternFill patternType="solid">
        <fgColor rgb="FFFFF3E0"/>
        <bgColor rgb="FFFFFDE7"/>
      </patternFill>
    </fill>
    <fill>
      <patternFill patternType="solid">
        <fgColor rgb="FFE3F2FD"/>
        <bgColor rgb="FFE6F4EA"/>
      </patternFill>
    </fill>
    <fill>
      <patternFill patternType="solid">
        <fgColor rgb="FFE8F5E9"/>
        <bgColor rgb="FFE6F4EA"/>
      </patternFill>
    </fill>
    <fill>
      <patternFill patternType="solid">
        <fgColor rgb="FF0D2346"/>
        <bgColor rgb="FF0F2342"/>
      </patternFill>
    </fill>
    <fill>
      <patternFill patternType="solid">
        <fgColor rgb="FF6D1F00"/>
        <bgColor rgb="FF6D3B00"/>
      </patternFill>
    </fill>
    <fill>
      <patternFill patternType="solid">
        <fgColor rgb="FF1B3C22"/>
        <bgColor rgb="FF0F2342"/>
      </patternFill>
    </fill>
    <fill>
      <patternFill patternType="solid">
        <fgColor rgb="FFFFFDE7"/>
        <bgColor rgb="FFF9F9F9"/>
      </patternFill>
    </fill>
    <fill>
      <patternFill patternType="solid">
        <fgColor rgb="FFC1D8F5"/>
        <bgColor rgb="FFAECBF0"/>
      </patternFill>
    </fill>
    <fill>
      <patternFill patternType="solid">
        <fgColor rgb="FFE6F4EA"/>
        <bgColor rgb="FFE8F5E9"/>
      </patternFill>
    </fill>
    <fill>
      <patternFill patternType="solid">
        <fgColor rgb="FF2980B9"/>
        <bgColor rgb="FF008080"/>
      </patternFill>
    </fill>
    <fill>
      <patternFill patternType="solid">
        <fgColor rgb="FF34495E"/>
        <bgColor rgb="FF1B3D6F"/>
      </patternFill>
    </fill>
    <fill>
      <patternFill patternType="solid">
        <fgColor rgb="FF2980B9"/>
        <bgColor rgb="FF2A5298"/>
      </patternFill>
    </fill>
    <fill>
      <patternFill patternType="solid">
        <fgColor rgb="FFEAF2FB"/>
        <bgColor rgb="FFE6F4EA"/>
      </patternFill>
    </fill>
    <fill>
      <patternFill patternType="solid">
        <fgColor rgb="FFFFFFFF"/>
        <bgColor rgb="FFF3F8FF"/>
      </patternFill>
    </fill>
    <fill>
      <patternFill patternType="solid">
        <fgColor rgb="FFF4F6F9"/>
        <bgColor rgb="FFF3F8FF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">
    <xf numFmtId="0" fontId="0" fillId="0" borderId="0"/>
    <xf numFmtId="0" fontId="56" fillId="0" borderId="0"/>
  </cellStyleXfs>
  <cellXfs count="1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8" borderId="0" xfId="0" applyFont="1" applyFill="1" applyAlignment="1">
      <alignment horizontal="left" vertical="center"/>
    </xf>
    <xf numFmtId="0" fontId="0" fillId="8" borderId="0" xfId="0" applyFill="1"/>
    <xf numFmtId="0" fontId="10" fillId="7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left" vertical="center" indent="1"/>
    </xf>
    <xf numFmtId="0" fontId="16" fillId="7" borderId="3" xfId="0" applyFont="1" applyFill="1" applyBorder="1" applyAlignment="1">
      <alignment horizontal="left" vertical="center" indent="2"/>
    </xf>
    <xf numFmtId="164" fontId="17" fillId="7" borderId="3" xfId="0" applyNumberFormat="1" applyFont="1" applyFill="1" applyBorder="1" applyAlignment="1">
      <alignment horizontal="right" vertical="center"/>
    </xf>
    <xf numFmtId="0" fontId="18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left" vertical="center" indent="2"/>
    </xf>
    <xf numFmtId="3" fontId="17" fillId="8" borderId="3" xfId="0" applyNumberFormat="1" applyFont="1" applyFill="1" applyBorder="1" applyAlignment="1">
      <alignment horizontal="right" vertical="center"/>
    </xf>
    <xf numFmtId="0" fontId="18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center" vertical="center"/>
    </xf>
    <xf numFmtId="165" fontId="17" fillId="7" borderId="3" xfId="0" applyNumberFormat="1" applyFont="1" applyFill="1" applyBorder="1" applyAlignment="1">
      <alignment horizontal="right" vertical="center"/>
    </xf>
    <xf numFmtId="0" fontId="19" fillId="7" borderId="3" xfId="0" applyFont="1" applyFill="1" applyBorder="1" applyAlignment="1">
      <alignment horizontal="left" vertical="center"/>
    </xf>
    <xf numFmtId="165" fontId="17" fillId="8" borderId="3" xfId="0" applyNumberFormat="1" applyFont="1" applyFill="1" applyBorder="1" applyAlignment="1">
      <alignment horizontal="right" vertical="center"/>
    </xf>
    <xf numFmtId="0" fontId="19" fillId="8" borderId="3" xfId="0" applyFont="1" applyFill="1" applyBorder="1" applyAlignment="1">
      <alignment horizontal="left" vertical="center"/>
    </xf>
    <xf numFmtId="3" fontId="17" fillId="7" borderId="3" xfId="0" applyNumberFormat="1" applyFont="1" applyFill="1" applyBorder="1" applyAlignment="1">
      <alignment horizontal="right" vertical="center"/>
    </xf>
    <xf numFmtId="2" fontId="17" fillId="7" borderId="3" xfId="0" applyNumberFormat="1" applyFont="1" applyFill="1" applyBorder="1" applyAlignment="1">
      <alignment horizontal="right" vertical="center"/>
    </xf>
    <xf numFmtId="2" fontId="17" fillId="8" borderId="3" xfId="0" applyNumberFormat="1" applyFont="1" applyFill="1" applyBorder="1" applyAlignment="1">
      <alignment horizontal="right" vertical="center"/>
    </xf>
    <xf numFmtId="0" fontId="20" fillId="11" borderId="4" xfId="0" applyFont="1" applyFill="1" applyBorder="1" applyAlignment="1">
      <alignment horizontal="left" vertical="center" indent="1"/>
    </xf>
    <xf numFmtId="2" fontId="21" fillId="11" borderId="4" xfId="0" applyNumberFormat="1" applyFont="1" applyFill="1" applyBorder="1" applyAlignment="1">
      <alignment horizontal="right" vertical="center"/>
    </xf>
    <xf numFmtId="0" fontId="0" fillId="11" borderId="0" xfId="0" applyFill="1"/>
    <xf numFmtId="0" fontId="19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left" vertical="center" indent="1"/>
    </xf>
    <xf numFmtId="0" fontId="22" fillId="11" borderId="0" xfId="0" applyFont="1" applyFill="1" applyAlignment="1">
      <alignment horizontal="left" vertical="center" indent="1"/>
    </xf>
    <xf numFmtId="0" fontId="22" fillId="11" borderId="0" xfId="0" applyFont="1" applyFill="1" applyAlignment="1">
      <alignment horizontal="center" vertical="center"/>
    </xf>
    <xf numFmtId="0" fontId="23" fillId="12" borderId="4" xfId="0" applyFont="1" applyFill="1" applyBorder="1" applyAlignment="1">
      <alignment horizontal="left" vertical="center" indent="2"/>
    </xf>
    <xf numFmtId="164" fontId="24" fillId="12" borderId="4" xfId="0" applyNumberFormat="1" applyFont="1" applyFill="1" applyBorder="1" applyAlignment="1">
      <alignment horizontal="right" vertical="center"/>
    </xf>
    <xf numFmtId="164" fontId="23" fillId="12" borderId="4" xfId="0" applyNumberFormat="1" applyFont="1" applyFill="1" applyBorder="1" applyAlignment="1">
      <alignment horizontal="right" vertical="center"/>
    </xf>
    <xf numFmtId="165" fontId="23" fillId="12" borderId="4" xfId="0" applyNumberFormat="1" applyFont="1" applyFill="1" applyBorder="1" applyAlignment="1">
      <alignment horizontal="right" vertical="center"/>
    </xf>
    <xf numFmtId="0" fontId="0" fillId="12" borderId="0" xfId="0" applyFill="1"/>
    <xf numFmtId="0" fontId="25" fillId="13" borderId="4" xfId="0" applyFont="1" applyFill="1" applyBorder="1" applyAlignment="1">
      <alignment horizontal="left" vertical="center" indent="2"/>
    </xf>
    <xf numFmtId="164" fontId="24" fillId="13" borderId="4" xfId="0" applyNumberFormat="1" applyFont="1" applyFill="1" applyBorder="1" applyAlignment="1">
      <alignment horizontal="right" vertical="center"/>
    </xf>
    <xf numFmtId="164" fontId="25" fillId="13" borderId="4" xfId="0" applyNumberFormat="1" applyFont="1" applyFill="1" applyBorder="1" applyAlignment="1">
      <alignment horizontal="right" vertical="center"/>
    </xf>
    <xf numFmtId="165" fontId="25" fillId="13" borderId="4" xfId="0" applyNumberFormat="1" applyFont="1" applyFill="1" applyBorder="1" applyAlignment="1">
      <alignment horizontal="right" vertical="center"/>
    </xf>
    <xf numFmtId="0" fontId="0" fillId="13" borderId="0" xfId="0" applyFill="1"/>
    <xf numFmtId="0" fontId="26" fillId="14" borderId="4" xfId="0" applyFont="1" applyFill="1" applyBorder="1" applyAlignment="1">
      <alignment horizontal="left" vertical="center" indent="2"/>
    </xf>
    <xf numFmtId="164" fontId="24" fillId="14" borderId="4" xfId="0" applyNumberFormat="1" applyFont="1" applyFill="1" applyBorder="1" applyAlignment="1">
      <alignment horizontal="right" vertical="center"/>
    </xf>
    <xf numFmtId="164" fontId="26" fillId="14" borderId="4" xfId="0" applyNumberFormat="1" applyFont="1" applyFill="1" applyBorder="1" applyAlignment="1">
      <alignment horizontal="right" vertical="center"/>
    </xf>
    <xf numFmtId="165" fontId="26" fillId="14" borderId="4" xfId="0" applyNumberFormat="1" applyFont="1" applyFill="1" applyBorder="1" applyAlignment="1">
      <alignment horizontal="right" vertical="center"/>
    </xf>
    <xf numFmtId="0" fontId="0" fillId="14" borderId="0" xfId="0" applyFill="1"/>
    <xf numFmtId="0" fontId="14" fillId="9" borderId="0" xfId="0" applyFont="1" applyFill="1" applyAlignment="1">
      <alignment horizontal="left" vertical="center" indent="1"/>
    </xf>
    <xf numFmtId="0" fontId="27" fillId="12" borderId="0" xfId="0" applyFont="1" applyFill="1" applyAlignment="1">
      <alignment horizontal="left" vertical="center" indent="3"/>
    </xf>
    <xf numFmtId="0" fontId="13" fillId="12" borderId="0" xfId="0" applyFont="1" applyFill="1" applyAlignment="1">
      <alignment horizontal="center" vertical="center"/>
    </xf>
    <xf numFmtId="165" fontId="27" fillId="12" borderId="0" xfId="0" applyNumberFormat="1" applyFont="1" applyFill="1" applyAlignment="1">
      <alignment horizontal="right" vertical="center"/>
    </xf>
    <xf numFmtId="0" fontId="28" fillId="13" borderId="0" xfId="0" applyFont="1" applyFill="1" applyAlignment="1">
      <alignment horizontal="left" vertical="center" indent="3"/>
    </xf>
    <xf numFmtId="0" fontId="13" fillId="13" borderId="0" xfId="0" applyFont="1" applyFill="1" applyAlignment="1">
      <alignment horizontal="center" vertical="center"/>
    </xf>
    <xf numFmtId="165" fontId="28" fillId="13" borderId="0" xfId="0" applyNumberFormat="1" applyFont="1" applyFill="1" applyAlignment="1">
      <alignment horizontal="right" vertical="center"/>
    </xf>
    <xf numFmtId="0" fontId="29" fillId="14" borderId="0" xfId="0" applyFont="1" applyFill="1" applyAlignment="1">
      <alignment horizontal="left" vertical="center" indent="3"/>
    </xf>
    <xf numFmtId="0" fontId="13" fillId="14" borderId="0" xfId="0" applyFont="1" applyFill="1" applyAlignment="1">
      <alignment horizontal="center" vertical="center"/>
    </xf>
    <xf numFmtId="165" fontId="29" fillId="14" borderId="0" xfId="0" applyNumberFormat="1" applyFont="1" applyFill="1" applyAlignment="1">
      <alignment horizontal="right" vertical="center"/>
    </xf>
    <xf numFmtId="3" fontId="30" fillId="12" borderId="0" xfId="0" applyNumberFormat="1" applyFont="1" applyFill="1" applyAlignment="1">
      <alignment horizontal="right" vertical="center"/>
    </xf>
    <xf numFmtId="3" fontId="27" fillId="12" borderId="0" xfId="0" applyNumberFormat="1" applyFont="1" applyFill="1" applyAlignment="1">
      <alignment horizontal="right" vertical="center"/>
    </xf>
    <xf numFmtId="3" fontId="13" fillId="12" borderId="0" xfId="0" applyNumberFormat="1" applyFont="1" applyFill="1" applyAlignment="1">
      <alignment horizontal="right" vertical="center"/>
    </xf>
    <xf numFmtId="3" fontId="30" fillId="13" borderId="0" xfId="0" applyNumberFormat="1" applyFont="1" applyFill="1" applyAlignment="1">
      <alignment horizontal="right" vertical="center"/>
    </xf>
    <xf numFmtId="3" fontId="28" fillId="13" borderId="0" xfId="0" applyNumberFormat="1" applyFont="1" applyFill="1" applyAlignment="1">
      <alignment horizontal="right" vertical="center"/>
    </xf>
    <xf numFmtId="3" fontId="13" fillId="13" borderId="0" xfId="0" applyNumberFormat="1" applyFont="1" applyFill="1" applyAlignment="1">
      <alignment horizontal="right" vertical="center"/>
    </xf>
    <xf numFmtId="3" fontId="30" fillId="14" borderId="0" xfId="0" applyNumberFormat="1" applyFont="1" applyFill="1" applyAlignment="1">
      <alignment horizontal="right" vertical="center"/>
    </xf>
    <xf numFmtId="3" fontId="29" fillId="14" borderId="0" xfId="0" applyNumberFormat="1" applyFont="1" applyFill="1" applyAlignment="1">
      <alignment horizontal="right" vertical="center"/>
    </xf>
    <xf numFmtId="3" fontId="13" fillId="14" borderId="0" xfId="0" applyNumberFormat="1" applyFont="1" applyFill="1" applyAlignment="1">
      <alignment horizontal="right" vertical="center"/>
    </xf>
    <xf numFmtId="0" fontId="15" fillId="15" borderId="0" xfId="0" applyFont="1" applyFill="1" applyAlignment="1">
      <alignment horizontal="left" vertical="center" indent="1"/>
    </xf>
    <xf numFmtId="0" fontId="31" fillId="11" borderId="0" xfId="0" applyFont="1" applyFill="1" applyAlignment="1">
      <alignment horizontal="left" vertical="center" indent="1"/>
    </xf>
    <xf numFmtId="0" fontId="31" fillId="11" borderId="0" xfId="0" applyFont="1" applyFill="1" applyAlignment="1">
      <alignment horizontal="center" vertical="center"/>
    </xf>
    <xf numFmtId="0" fontId="32" fillId="7" borderId="3" xfId="0" applyFont="1" applyFill="1" applyBorder="1" applyAlignment="1">
      <alignment horizontal="left" vertical="center" indent="3"/>
    </xf>
    <xf numFmtId="164" fontId="33" fillId="7" borderId="3" xfId="0" applyNumberFormat="1" applyFont="1" applyFill="1" applyBorder="1" applyAlignment="1">
      <alignment horizontal="right" vertical="center"/>
    </xf>
    <xf numFmtId="0" fontId="32" fillId="8" borderId="3" xfId="0" applyFont="1" applyFill="1" applyBorder="1" applyAlignment="1">
      <alignment horizontal="left" vertical="center" indent="3"/>
    </xf>
    <xf numFmtId="164" fontId="33" fillId="8" borderId="3" xfId="0" applyNumberFormat="1" applyFont="1" applyFill="1" applyBorder="1" applyAlignment="1">
      <alignment horizontal="right" vertical="center"/>
    </xf>
    <xf numFmtId="0" fontId="34" fillId="13" borderId="4" xfId="0" applyFont="1" applyFill="1" applyBorder="1" applyAlignment="1">
      <alignment horizontal="left" vertical="center" indent="3"/>
    </xf>
    <xf numFmtId="164" fontId="35" fillId="13" borderId="4" xfId="0" applyNumberFormat="1" applyFont="1" applyFill="1" applyBorder="1" applyAlignment="1">
      <alignment horizontal="right" vertical="center"/>
    </xf>
    <xf numFmtId="164" fontId="34" fillId="13" borderId="4" xfId="0" applyNumberFormat="1" applyFont="1" applyFill="1" applyBorder="1" applyAlignment="1">
      <alignment horizontal="right" vertical="center"/>
    </xf>
    <xf numFmtId="165" fontId="34" fillId="13" borderId="4" xfId="0" applyNumberFormat="1" applyFont="1" applyFill="1" applyBorder="1" applyAlignment="1">
      <alignment horizontal="right" vertical="center"/>
    </xf>
    <xf numFmtId="0" fontId="15" fillId="16" borderId="0" xfId="0" applyFont="1" applyFill="1" applyAlignment="1">
      <alignment horizontal="left" vertical="center" indent="1"/>
    </xf>
    <xf numFmtId="0" fontId="36" fillId="12" borderId="4" xfId="0" applyFont="1" applyFill="1" applyBorder="1" applyAlignment="1">
      <alignment horizontal="left" vertical="center" indent="3"/>
    </xf>
    <xf numFmtId="164" fontId="35" fillId="12" borderId="4" xfId="0" applyNumberFormat="1" applyFont="1" applyFill="1" applyBorder="1" applyAlignment="1">
      <alignment horizontal="right" vertical="center"/>
    </xf>
    <xf numFmtId="164" fontId="36" fillId="12" borderId="4" xfId="0" applyNumberFormat="1" applyFont="1" applyFill="1" applyBorder="1" applyAlignment="1">
      <alignment horizontal="right" vertical="center"/>
    </xf>
    <xf numFmtId="165" fontId="36" fillId="12" borderId="4" xfId="0" applyNumberFormat="1" applyFont="1" applyFill="1" applyBorder="1" applyAlignment="1">
      <alignment horizontal="right" vertical="center"/>
    </xf>
    <xf numFmtId="0" fontId="15" fillId="17" borderId="0" xfId="0" applyFont="1" applyFill="1" applyAlignment="1">
      <alignment horizontal="left" vertical="center" indent="1"/>
    </xf>
    <xf numFmtId="0" fontId="37" fillId="14" borderId="4" xfId="0" applyFont="1" applyFill="1" applyBorder="1" applyAlignment="1">
      <alignment horizontal="left" vertical="center" indent="3"/>
    </xf>
    <xf numFmtId="164" fontId="35" fillId="14" borderId="4" xfId="0" applyNumberFormat="1" applyFont="1" applyFill="1" applyBorder="1" applyAlignment="1">
      <alignment horizontal="right" vertical="center"/>
    </xf>
    <xf numFmtId="164" fontId="37" fillId="14" borderId="4" xfId="0" applyNumberFormat="1" applyFont="1" applyFill="1" applyBorder="1" applyAlignment="1">
      <alignment horizontal="right" vertical="center"/>
    </xf>
    <xf numFmtId="165" fontId="37" fillId="14" borderId="4" xfId="0" applyNumberFormat="1" applyFont="1" applyFill="1" applyBorder="1" applyAlignment="1">
      <alignment horizontal="right" vertical="center"/>
    </xf>
    <xf numFmtId="0" fontId="38" fillId="11" borderId="0" xfId="0" applyFont="1" applyFill="1" applyAlignment="1">
      <alignment horizontal="center" vertical="center"/>
    </xf>
    <xf numFmtId="0" fontId="39" fillId="11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164" fontId="41" fillId="11" borderId="0" xfId="0" applyNumberFormat="1" applyFont="1" applyFill="1" applyAlignment="1">
      <alignment horizontal="center" vertical="center"/>
    </xf>
    <xf numFmtId="164" fontId="42" fillId="11" borderId="0" xfId="0" applyNumberFormat="1" applyFont="1" applyFill="1" applyAlignment="1">
      <alignment horizontal="center" vertical="center"/>
    </xf>
    <xf numFmtId="164" fontId="43" fillId="11" borderId="0" xfId="0" applyNumberFormat="1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5" fillId="7" borderId="5" xfId="0" applyFont="1" applyFill="1" applyBorder="1" applyAlignment="1">
      <alignment horizontal="left" vertical="center" indent="1"/>
    </xf>
    <xf numFmtId="164" fontId="46" fillId="7" borderId="5" xfId="0" applyNumberFormat="1" applyFont="1" applyFill="1" applyBorder="1" applyAlignment="1">
      <alignment horizontal="right" vertical="center"/>
    </xf>
    <xf numFmtId="164" fontId="25" fillId="7" borderId="5" xfId="0" applyNumberFormat="1" applyFont="1" applyFill="1" applyBorder="1" applyAlignment="1">
      <alignment horizontal="right" vertical="center"/>
    </xf>
    <xf numFmtId="164" fontId="47" fillId="7" borderId="5" xfId="0" applyNumberFormat="1" applyFont="1" applyFill="1" applyBorder="1" applyAlignment="1">
      <alignment horizontal="right" vertical="center"/>
    </xf>
    <xf numFmtId="164" fontId="48" fillId="18" borderId="5" xfId="0" applyNumberFormat="1" applyFont="1" applyFill="1" applyBorder="1" applyAlignment="1">
      <alignment horizontal="right" vertical="center"/>
    </xf>
    <xf numFmtId="164" fontId="49" fillId="7" borderId="5" xfId="0" applyNumberFormat="1" applyFont="1" applyFill="1" applyBorder="1" applyAlignment="1">
      <alignment horizontal="right" vertical="center"/>
    </xf>
    <xf numFmtId="165" fontId="33" fillId="7" borderId="5" xfId="0" applyNumberFormat="1" applyFont="1" applyFill="1" applyBorder="1" applyAlignment="1">
      <alignment horizontal="right" vertical="center"/>
    </xf>
    <xf numFmtId="0" fontId="19" fillId="7" borderId="0" xfId="0" applyFont="1" applyFill="1" applyAlignment="1">
      <alignment horizontal="center" vertical="center"/>
    </xf>
    <xf numFmtId="0" fontId="45" fillId="8" borderId="5" xfId="0" applyFont="1" applyFill="1" applyBorder="1" applyAlignment="1">
      <alignment horizontal="left" vertical="center" indent="1"/>
    </xf>
    <xf numFmtId="164" fontId="46" fillId="8" borderId="5" xfId="0" applyNumberFormat="1" applyFont="1" applyFill="1" applyBorder="1" applyAlignment="1">
      <alignment horizontal="right" vertical="center"/>
    </xf>
    <xf numFmtId="164" fontId="25" fillId="8" borderId="5" xfId="0" applyNumberFormat="1" applyFont="1" applyFill="1" applyBorder="1" applyAlignment="1">
      <alignment horizontal="right" vertical="center"/>
    </xf>
    <xf numFmtId="164" fontId="47" fillId="8" borderId="5" xfId="0" applyNumberFormat="1" applyFont="1" applyFill="1" applyBorder="1" applyAlignment="1">
      <alignment horizontal="right" vertical="center"/>
    </xf>
    <xf numFmtId="164" fontId="49" fillId="8" borderId="5" xfId="0" applyNumberFormat="1" applyFont="1" applyFill="1" applyBorder="1" applyAlignment="1">
      <alignment horizontal="right" vertical="center"/>
    </xf>
    <xf numFmtId="165" fontId="33" fillId="8" borderId="5" xfId="0" applyNumberFormat="1" applyFont="1" applyFill="1" applyBorder="1" applyAlignment="1">
      <alignment horizontal="right" vertical="center"/>
    </xf>
    <xf numFmtId="0" fontId="19" fillId="8" borderId="0" xfId="0" applyFont="1" applyFill="1" applyAlignment="1">
      <alignment horizontal="center" vertical="center"/>
    </xf>
    <xf numFmtId="0" fontId="10" fillId="19" borderId="6" xfId="0" applyFont="1" applyFill="1" applyBorder="1" applyAlignment="1">
      <alignment horizontal="left" vertical="center" indent="1"/>
    </xf>
    <xf numFmtId="164" fontId="10" fillId="19" borderId="6" xfId="0" applyNumberFormat="1" applyFont="1" applyFill="1" applyBorder="1" applyAlignment="1">
      <alignment horizontal="right" vertical="center"/>
    </xf>
    <xf numFmtId="164" fontId="10" fillId="18" borderId="6" xfId="0" applyNumberFormat="1" applyFont="1" applyFill="1" applyBorder="1" applyAlignment="1">
      <alignment horizontal="right" vertical="center"/>
    </xf>
    <xf numFmtId="0" fontId="49" fillId="19" borderId="6" xfId="0" applyFont="1" applyFill="1" applyBorder="1" applyAlignment="1">
      <alignment horizontal="left" vertical="center"/>
    </xf>
    <xf numFmtId="0" fontId="32" fillId="7" borderId="3" xfId="0" applyFont="1" applyFill="1" applyBorder="1" applyAlignment="1">
      <alignment horizontal="left" vertical="center" indent="2"/>
    </xf>
    <xf numFmtId="3" fontId="50" fillId="7" borderId="3" xfId="0" applyNumberFormat="1" applyFont="1" applyFill="1" applyBorder="1" applyAlignment="1">
      <alignment horizontal="right" vertical="center"/>
    </xf>
    <xf numFmtId="164" fontId="50" fillId="7" borderId="3" xfId="0" applyNumberFormat="1" applyFont="1" applyFill="1" applyBorder="1" applyAlignment="1">
      <alignment horizontal="right" vertical="center"/>
    </xf>
    <xf numFmtId="0" fontId="32" fillId="8" borderId="3" xfId="0" applyFont="1" applyFill="1" applyBorder="1" applyAlignment="1">
      <alignment horizontal="left" vertical="center" indent="2"/>
    </xf>
    <xf numFmtId="3" fontId="50" fillId="8" borderId="3" xfId="0" applyNumberFormat="1" applyFont="1" applyFill="1" applyBorder="1" applyAlignment="1">
      <alignment horizontal="right" vertical="center"/>
    </xf>
    <xf numFmtId="164" fontId="50" fillId="8" borderId="3" xfId="0" applyNumberFormat="1" applyFont="1" applyFill="1" applyBorder="1" applyAlignment="1">
      <alignment horizontal="right" vertical="center"/>
    </xf>
    <xf numFmtId="0" fontId="52" fillId="0" borderId="0" xfId="0" applyFont="1" applyAlignment="1">
      <alignment horizontal="left" vertical="center" indent="1"/>
    </xf>
    <xf numFmtId="0" fontId="15" fillId="9" borderId="2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left" vertical="center" indent="1"/>
    </xf>
    <xf numFmtId="164" fontId="32" fillId="8" borderId="3" xfId="0" applyNumberFormat="1" applyFont="1" applyFill="1" applyBorder="1" applyAlignment="1">
      <alignment horizontal="right" vertical="center"/>
    </xf>
    <xf numFmtId="0" fontId="32" fillId="7" borderId="0" xfId="0" applyFont="1" applyFill="1" applyAlignment="1">
      <alignment horizontal="left" vertical="center" indent="1"/>
    </xf>
    <xf numFmtId="164" fontId="32" fillId="7" borderId="3" xfId="0" applyNumberFormat="1" applyFont="1" applyFill="1" applyBorder="1" applyAlignment="1">
      <alignment horizontal="right" vertical="center"/>
    </xf>
    <xf numFmtId="0" fontId="52" fillId="11" borderId="0" xfId="0" applyFont="1" applyFill="1" applyAlignment="1">
      <alignment horizontal="left" vertical="center" indent="1"/>
    </xf>
    <xf numFmtId="164" fontId="53" fillId="11" borderId="3" xfId="0" applyNumberFormat="1" applyFont="1" applyFill="1" applyBorder="1" applyAlignment="1">
      <alignment horizontal="right" vertical="center"/>
    </xf>
    <xf numFmtId="164" fontId="54" fillId="20" borderId="3" xfId="0" applyNumberFormat="1" applyFont="1" applyFill="1" applyBorder="1" applyAlignment="1">
      <alignment horizontal="right" vertical="center"/>
    </xf>
    <xf numFmtId="0" fontId="55" fillId="0" borderId="0" xfId="0" applyFont="1" applyAlignment="1">
      <alignment horizontal="left" vertical="center" indent="1"/>
    </xf>
    <xf numFmtId="164" fontId="17" fillId="8" borderId="3" xfId="0" applyNumberFormat="1" applyFont="1" applyFill="1" applyBorder="1" applyAlignment="1">
      <alignment horizontal="right" vertical="center"/>
    </xf>
    <xf numFmtId="165" fontId="33" fillId="8" borderId="3" xfId="0" applyNumberFormat="1" applyFont="1" applyFill="1" applyBorder="1" applyAlignment="1">
      <alignment horizontal="right" vertical="center"/>
    </xf>
    <xf numFmtId="165" fontId="33" fillId="7" borderId="3" xfId="0" applyNumberFormat="1" applyFont="1" applyFill="1" applyBorder="1" applyAlignment="1">
      <alignment horizontal="right" vertical="center"/>
    </xf>
    <xf numFmtId="0" fontId="10" fillId="19" borderId="7" xfId="0" applyFont="1" applyFill="1" applyBorder="1" applyAlignment="1">
      <alignment horizontal="left" vertical="center"/>
    </xf>
    <xf numFmtId="0" fontId="0" fillId="19" borderId="0" xfId="0" applyFill="1"/>
    <xf numFmtId="164" fontId="10" fillId="19" borderId="7" xfId="0" applyNumberFormat="1" applyFont="1" applyFill="1" applyBorder="1" applyAlignment="1">
      <alignment horizontal="right" vertical="center"/>
    </xf>
    <xf numFmtId="165" fontId="10" fillId="19" borderId="7" xfId="0" applyNumberFormat="1" applyFont="1" applyFill="1" applyBorder="1" applyAlignment="1">
      <alignment horizontal="right" vertical="center"/>
    </xf>
    <xf numFmtId="0" fontId="0" fillId="0" borderId="0" xfId="0"/>
    <xf numFmtId="0" fontId="56" fillId="0" borderId="0" xfId="1"/>
    <xf numFmtId="0" fontId="62" fillId="24" borderId="8" xfId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7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165" fontId="5" fillId="5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59" fillId="21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60" fillId="22" borderId="0" xfId="1" applyFont="1" applyFill="1" applyAlignment="1">
      <alignment horizontal="center" vertical="center"/>
    </xf>
    <xf numFmtId="0" fontId="51" fillId="18" borderId="0" xfId="0" applyFont="1" applyFill="1" applyAlignment="1">
      <alignment horizontal="left" vertical="center" wrapText="1"/>
    </xf>
    <xf numFmtId="0" fontId="63" fillId="25" borderId="9" xfId="1" applyFont="1" applyFill="1" applyBorder="1" applyAlignment="1">
      <alignment horizontal="left" vertical="center"/>
    </xf>
    <xf numFmtId="0" fontId="63" fillId="24" borderId="9" xfId="1" applyFont="1" applyFill="1" applyBorder="1" applyAlignment="1">
      <alignment horizontal="left" vertical="center"/>
    </xf>
    <xf numFmtId="0" fontId="64" fillId="26" borderId="0" xfId="1" applyFont="1" applyFill="1" applyAlignment="1">
      <alignment horizontal="left" vertical="center" wrapText="1"/>
    </xf>
    <xf numFmtId="0" fontId="61" fillId="23" borderId="0" xfId="1" applyFont="1" applyFill="1" applyAlignment="1">
      <alignment horizontal="left" vertical="center"/>
    </xf>
    <xf numFmtId="0" fontId="63" fillId="25" borderId="9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CF0C9DBA-22A3-4AAB-BD56-984F93BEF92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5298"/>
      <rgbColor rgb="FFF9F9F9"/>
      <rgbColor rgb="FFFF00FF"/>
      <rgbColor rgb="FF00FFFF"/>
      <rgbColor rgb="FF8B0000"/>
      <rgbColor rgb="FF1B5E20"/>
      <rgbColor rgb="FF0D2346"/>
      <rgbColor rgb="FF555555"/>
      <rgbColor rgb="FF6D3B00"/>
      <rgbColor rgb="FF145A32"/>
      <rgbColor rgb="FFA5D6A7"/>
      <rgbColor rgb="FF878787"/>
      <rgbColor rgb="FF8BAACF"/>
      <rgbColor rgb="FFBE4B48"/>
      <rgbColor rgb="FFFFFDE7"/>
      <rgbColor rgb="FFE3F2FD"/>
      <rgbColor rgb="FF5D4037"/>
      <rgbColor rgb="FFFF8080"/>
      <rgbColor rgb="FF1565C0"/>
      <rgbColor rgb="FFC1D8F5"/>
      <rgbColor rgb="FF0D47A1"/>
      <rgbColor rgb="FFFF00FF"/>
      <rgbColor rgb="FFF3F8FF"/>
      <rgbColor rgb="FF00FFFF"/>
      <rgbColor rgb="FF800080"/>
      <rgbColor rgb="FF6D1F00"/>
      <rgbColor rgb="FF1A5C2E"/>
      <rgbColor rgb="FF0000FF"/>
      <rgbColor rgb="FF00CCFF"/>
      <rgbColor rgb="FFE6F4EA"/>
      <rgbColor rgb="FFE8F5E9"/>
      <rgbColor rgb="FFFFF3E0"/>
      <rgbColor rgb="FFAECBF0"/>
      <rgbColor rgb="FFDDDDDD"/>
      <rgbColor rgb="FFD9D9D9"/>
      <rgbColor rgb="FFFFCC80"/>
      <rgbColor rgb="FF4F81BD"/>
      <rgbColor rgb="FF4FC3F7"/>
      <rgbColor rgb="FF98B855"/>
      <rgbColor rgb="FFD9E9FB"/>
      <rgbColor rgb="FFC8991E"/>
      <rgbColor rgb="FFFF6600"/>
      <rgbColor rgb="FF4A7EBB"/>
      <rgbColor rgb="FF9BBB59"/>
      <rgbColor rgb="FF15396A"/>
      <rgbColor rgb="FF2E7D32"/>
      <rgbColor rgb="FF0F2342"/>
      <rgbColor rgb="FF1A1A1A"/>
      <rgbColor rgb="FFBF360C"/>
      <rgbColor rgb="FFC0504D"/>
      <rgbColor rgb="FF1B3D6F"/>
      <rgbColor rgb="FF1B3C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5-Year Revenue Forecast — Scenario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Conservative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Forecast'!$C$7:$G$7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'Revenue Forecast'!$C$11:$G$11</c:f>
              <c:numCache>
                <c:formatCode>#,##0_);[Red]\(#,##0\)</c:formatCode>
                <c:ptCount val="5"/>
                <c:pt idx="0">
                  <c:v>20844</c:v>
                </c:pt>
                <c:pt idx="1">
                  <c:v>21919.32</c:v>
                </c:pt>
                <c:pt idx="2">
                  <c:v>22807.706399999999</c:v>
                </c:pt>
                <c:pt idx="3">
                  <c:v>23263.860528000001</c:v>
                </c:pt>
                <c:pt idx="4">
                  <c:v>23729.137738560003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3-4CF2-A038-2C73921502A5}"/>
            </c:ext>
          </c:extLst>
        </c:ser>
        <c:ser>
          <c:idx val="1"/>
          <c:order val="1"/>
          <c:tx>
            <c:v>Base Case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Forecast'!$C$7:$G$7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'Revenue Forecast'!$C$12:$G$12</c:f>
              <c:numCache>
                <c:formatCode>#,##0_);[Red]\(#,##0\)</c:formatCode>
                <c:ptCount val="5"/>
                <c:pt idx="0">
                  <c:v>26460</c:v>
                </c:pt>
                <c:pt idx="1">
                  <c:v>32086.800000000003</c:v>
                </c:pt>
                <c:pt idx="2">
                  <c:v>37842.876000000004</c:v>
                </c:pt>
                <c:pt idx="3">
                  <c:v>42453.448560000004</c:v>
                </c:pt>
                <c:pt idx="4">
                  <c:v>46916.12098800001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3-4CF2-A038-2C73921502A5}"/>
            </c:ext>
          </c:extLst>
        </c:ser>
        <c:ser>
          <c:idx val="2"/>
          <c:order val="2"/>
          <c:tx>
            <c:v>Aggressive</c:v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Forecast'!$C$7:$G$7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'Revenue Forecast'!$C$13:$G$13</c:f>
              <c:numCache>
                <c:formatCode>#,##0_);[Red]\(#,##0\)</c:formatCode>
                <c:ptCount val="5"/>
                <c:pt idx="0">
                  <c:v>31020</c:v>
                </c:pt>
                <c:pt idx="1">
                  <c:v>43302.6</c:v>
                </c:pt>
                <c:pt idx="2">
                  <c:v>55098.912000000004</c:v>
                </c:pt>
                <c:pt idx="3">
                  <c:v>66109.792320000008</c:v>
                </c:pt>
                <c:pt idx="4">
                  <c:v>77670.77155200002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3-4CF2-A038-2C739215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33344"/>
        <c:axId val="87698246"/>
      </c:barChart>
      <c:catAx>
        <c:axId val="41033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87698246"/>
        <c:crosses val="autoZero"/>
        <c:auto val="1"/>
        <c:lblAlgn val="ctr"/>
        <c:lblOffset val="100"/>
        <c:noMultiLvlLbl val="0"/>
      </c:catAx>
      <c:valAx>
        <c:axId val="87698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41033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FY2026 Monthly Revenue — Scenario Comparison with Seasonality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Conservative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Dashboard'!$B$11:$B$22</c:f>
              <c:numCache>
                <c:formatCode>#,##0_);[Red]\(#,##0\)</c:formatCode>
                <c:ptCount val="12"/>
                <c:pt idx="0">
                  <c:v>1250.6400000000001</c:v>
                </c:pt>
                <c:pt idx="1">
                  <c:v>1354.86</c:v>
                </c:pt>
                <c:pt idx="2">
                  <c:v>1563.3000000000002</c:v>
                </c:pt>
                <c:pt idx="3">
                  <c:v>1598.04</c:v>
                </c:pt>
                <c:pt idx="4">
                  <c:v>1650.1499999999999</c:v>
                </c:pt>
                <c:pt idx="5">
                  <c:v>1598.04</c:v>
                </c:pt>
                <c:pt idx="6">
                  <c:v>1545.93</c:v>
                </c:pt>
                <c:pt idx="7">
                  <c:v>1580.67</c:v>
                </c:pt>
                <c:pt idx="8">
                  <c:v>1650.1499999999999</c:v>
                </c:pt>
                <c:pt idx="9">
                  <c:v>1875.96</c:v>
                </c:pt>
                <c:pt idx="10">
                  <c:v>2397.06</c:v>
                </c:pt>
                <c:pt idx="11">
                  <c:v>2779.2000000000003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98-4378-B21C-B1E3A7F14CEC}"/>
            </c:ext>
          </c:extLst>
        </c:ser>
        <c:ser>
          <c:idx val="1"/>
          <c:order val="1"/>
          <c:tx>
            <c:v>Base Case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Dashboard'!$C$11:$C$22</c:f>
              <c:numCache>
                <c:formatCode>#,##0_);[Red]\(#,##0\)</c:formatCode>
                <c:ptCount val="12"/>
                <c:pt idx="0">
                  <c:v>1587.6000000000001</c:v>
                </c:pt>
                <c:pt idx="1">
                  <c:v>1719.8999999999999</c:v>
                </c:pt>
                <c:pt idx="2">
                  <c:v>1984.5</c:v>
                </c:pt>
                <c:pt idx="3">
                  <c:v>2028.6000000000001</c:v>
                </c:pt>
                <c:pt idx="4">
                  <c:v>2094.75</c:v>
                </c:pt>
                <c:pt idx="5">
                  <c:v>2028.6000000000001</c:v>
                </c:pt>
                <c:pt idx="6">
                  <c:v>1962.45</c:v>
                </c:pt>
                <c:pt idx="7">
                  <c:v>2006.5500000000002</c:v>
                </c:pt>
                <c:pt idx="8">
                  <c:v>2094.75</c:v>
                </c:pt>
                <c:pt idx="9">
                  <c:v>2381.4</c:v>
                </c:pt>
                <c:pt idx="10">
                  <c:v>3042.8999999999996</c:v>
                </c:pt>
                <c:pt idx="11">
                  <c:v>3528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98-4378-B21C-B1E3A7F14CEC}"/>
            </c:ext>
          </c:extLst>
        </c:ser>
        <c:ser>
          <c:idx val="2"/>
          <c:order val="2"/>
          <c:tx>
            <c:v>Aggressive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Dashboard'!$D$11:$D$22</c:f>
              <c:numCache>
                <c:formatCode>#,##0_);[Red]\(#,##0\)</c:formatCode>
                <c:ptCount val="12"/>
                <c:pt idx="0">
                  <c:v>1861.1999999999998</c:v>
                </c:pt>
                <c:pt idx="1">
                  <c:v>2016.3000000000002</c:v>
                </c:pt>
                <c:pt idx="2">
                  <c:v>2326.5</c:v>
                </c:pt>
                <c:pt idx="3">
                  <c:v>2378.2000000000003</c:v>
                </c:pt>
                <c:pt idx="4">
                  <c:v>2455.75</c:v>
                </c:pt>
                <c:pt idx="5">
                  <c:v>2378.2000000000003</c:v>
                </c:pt>
                <c:pt idx="6">
                  <c:v>2300.65</c:v>
                </c:pt>
                <c:pt idx="7">
                  <c:v>2352.35</c:v>
                </c:pt>
                <c:pt idx="8">
                  <c:v>2455.75</c:v>
                </c:pt>
                <c:pt idx="9">
                  <c:v>2791.8000000000006</c:v>
                </c:pt>
                <c:pt idx="10">
                  <c:v>3567.2999999999997</c:v>
                </c:pt>
                <c:pt idx="11">
                  <c:v>4136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98-4378-B21C-B1E3A7F1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769813"/>
        <c:axId val="55568993"/>
      </c:lineChart>
      <c:catAx>
        <c:axId val="51769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5568993"/>
        <c:crosses val="autoZero"/>
        <c:auto val="1"/>
        <c:lblAlgn val="ctr"/>
        <c:lblOffset val="100"/>
        <c:noMultiLvlLbl val="0"/>
      </c:catAx>
      <c:valAx>
        <c:axId val="55568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1769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11</xdr:col>
      <xdr:colOff>461520</xdr:colOff>
      <xdr:row>69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7</xdr:col>
      <xdr:colOff>1031100</xdr:colOff>
      <xdr:row>58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342"/>
  </sheetPr>
  <dimension ref="A1:G23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3" width="22" customWidth="1"/>
    <col min="4" max="4" width="3" customWidth="1"/>
    <col min="5" max="5" width="22" customWidth="1"/>
    <col min="6" max="6" width="36.44140625" customWidth="1"/>
    <col min="7" max="7" width="4.33203125" customWidth="1"/>
  </cols>
  <sheetData>
    <row r="1" spans="1:7" ht="13.5" customHeight="1" x14ac:dyDescent="0.3">
      <c r="A1" s="1"/>
      <c r="B1" s="1"/>
      <c r="C1" s="1"/>
      <c r="D1" s="1"/>
      <c r="E1" s="1"/>
      <c r="F1" s="1"/>
      <c r="G1" s="1"/>
    </row>
    <row r="2" spans="1:7" ht="25.5" customHeight="1" x14ac:dyDescent="0.3">
      <c r="A2" s="1"/>
      <c r="B2" s="152" t="s">
        <v>0</v>
      </c>
      <c r="C2" s="152"/>
      <c r="D2" s="152"/>
      <c r="E2" s="152"/>
      <c r="F2" s="152"/>
      <c r="G2" s="1"/>
    </row>
    <row r="3" spans="1:7" ht="25.5" customHeight="1" x14ac:dyDescent="0.3">
      <c r="A3" s="1"/>
      <c r="B3" s="153" t="s">
        <v>1</v>
      </c>
      <c r="C3" s="153"/>
      <c r="D3" s="153"/>
      <c r="E3" s="153"/>
      <c r="F3" s="153"/>
      <c r="G3" s="1"/>
    </row>
    <row r="4" spans="1:7" ht="25.5" customHeight="1" x14ac:dyDescent="0.3">
      <c r="A4" s="1"/>
      <c r="B4" s="154" t="s">
        <v>2</v>
      </c>
      <c r="C4" s="154"/>
      <c r="D4" s="154"/>
      <c r="E4" s="154"/>
      <c r="F4" s="154"/>
      <c r="G4" s="1"/>
    </row>
    <row r="5" spans="1:7" ht="13.5" customHeight="1" x14ac:dyDescent="0.3">
      <c r="A5" s="1"/>
      <c r="B5" s="1"/>
      <c r="C5" s="1"/>
      <c r="D5" s="1"/>
      <c r="E5" s="1"/>
      <c r="F5" s="1"/>
      <c r="G5" s="1"/>
    </row>
    <row r="6" spans="1:7" ht="3.75" customHeight="1" x14ac:dyDescent="0.3">
      <c r="A6" s="2"/>
      <c r="B6" s="2"/>
      <c r="C6" s="2"/>
      <c r="D6" s="2"/>
      <c r="E6" s="2"/>
      <c r="F6" s="2"/>
      <c r="G6" s="2"/>
    </row>
    <row r="7" spans="1:7" ht="6" customHeight="1" x14ac:dyDescent="0.3">
      <c r="B7" s="3"/>
      <c r="C7" s="3"/>
      <c r="D7" s="4"/>
      <c r="E7" s="4"/>
      <c r="F7" s="5"/>
      <c r="G7" s="5"/>
    </row>
    <row r="8" spans="1:7" ht="36" customHeight="1" x14ac:dyDescent="0.3">
      <c r="B8" s="155">
        <f>'Revenue Forecast'!G12</f>
        <v>46916.12098800001</v>
      </c>
      <c r="C8" s="155"/>
      <c r="D8" s="156">
        <f>'Revenue Forecast'!C17</f>
        <v>0.33636363636363642</v>
      </c>
      <c r="E8" s="156"/>
      <c r="F8" s="157" t="s">
        <v>3</v>
      </c>
      <c r="G8" s="157"/>
    </row>
    <row r="9" spans="1:7" ht="21.75" customHeight="1" x14ac:dyDescent="0.3">
      <c r="B9" s="146" t="s">
        <v>4</v>
      </c>
      <c r="C9" s="146"/>
      <c r="D9" s="147" t="s">
        <v>5</v>
      </c>
      <c r="E9" s="147"/>
      <c r="F9" s="148" t="s">
        <v>6</v>
      </c>
      <c r="G9" s="148"/>
    </row>
    <row r="10" spans="1:7" ht="9.75" customHeight="1" x14ac:dyDescent="0.3">
      <c r="B10" s="3"/>
      <c r="C10" s="3"/>
      <c r="D10" s="4"/>
      <c r="E10" s="4"/>
      <c r="F10" s="5"/>
      <c r="G10" s="5"/>
    </row>
    <row r="11" spans="1:7" ht="9.75" customHeight="1" x14ac:dyDescent="0.3">
      <c r="A11" s="6"/>
      <c r="B11" s="6"/>
      <c r="C11" s="6"/>
      <c r="D11" s="6"/>
      <c r="E11" s="6"/>
      <c r="F11" s="6"/>
      <c r="G11" s="6"/>
    </row>
    <row r="12" spans="1:7" ht="7.5" customHeight="1" x14ac:dyDescent="0.3"/>
    <row r="13" spans="1:7" ht="13.5" customHeight="1" x14ac:dyDescent="0.3">
      <c r="B13" s="149" t="s">
        <v>7</v>
      </c>
      <c r="C13" s="149"/>
      <c r="D13" s="149"/>
      <c r="E13" s="149"/>
      <c r="F13" s="149"/>
    </row>
    <row r="14" spans="1:7" ht="12.75" customHeight="1" x14ac:dyDescent="0.3">
      <c r="B14" s="7" t="s">
        <v>8</v>
      </c>
      <c r="C14" s="8"/>
      <c r="D14" s="8"/>
      <c r="E14" s="7" t="s">
        <v>9</v>
      </c>
      <c r="F14" s="8"/>
    </row>
    <row r="15" spans="1:7" ht="41.4" x14ac:dyDescent="0.3">
      <c r="B15" s="9" t="s">
        <v>10</v>
      </c>
      <c r="C15" s="6"/>
      <c r="D15" s="6"/>
      <c r="E15" s="9" t="s">
        <v>11</v>
      </c>
      <c r="F15" s="6"/>
    </row>
    <row r="16" spans="1:7" ht="12.75" customHeight="1" x14ac:dyDescent="0.3">
      <c r="B16" s="7" t="s">
        <v>12</v>
      </c>
      <c r="C16" s="8"/>
      <c r="D16" s="8"/>
      <c r="E16" s="7" t="s">
        <v>13</v>
      </c>
      <c r="F16" s="8"/>
    </row>
    <row r="17" spans="2:6" ht="27.6" x14ac:dyDescent="0.3">
      <c r="B17" s="9" t="s">
        <v>14</v>
      </c>
      <c r="C17" s="6"/>
      <c r="D17" s="6"/>
      <c r="E17" s="9" t="s">
        <v>15</v>
      </c>
      <c r="F17" s="6"/>
    </row>
    <row r="18" spans="2:6" ht="12.75" customHeight="1" x14ac:dyDescent="0.3">
      <c r="B18" s="7" t="s">
        <v>16</v>
      </c>
      <c r="C18" s="8"/>
      <c r="D18" s="8"/>
      <c r="E18" s="7" t="s">
        <v>17</v>
      </c>
      <c r="F18" s="8"/>
    </row>
    <row r="19" spans="2:6" ht="55.2" x14ac:dyDescent="0.3">
      <c r="B19" s="9" t="s">
        <v>18</v>
      </c>
      <c r="C19" s="6"/>
      <c r="D19" s="6"/>
      <c r="E19" s="9" t="s">
        <v>19</v>
      </c>
      <c r="F19" s="6"/>
    </row>
    <row r="20" spans="2:6" ht="12.75" customHeight="1" x14ac:dyDescent="0.3">
      <c r="B20" s="7" t="s">
        <v>20</v>
      </c>
      <c r="C20" s="8"/>
      <c r="D20" s="8"/>
      <c r="E20" s="7" t="s">
        <v>21</v>
      </c>
      <c r="F20" s="8"/>
    </row>
    <row r="21" spans="2:6" ht="55.2" x14ac:dyDescent="0.3">
      <c r="B21" s="9" t="s">
        <v>22</v>
      </c>
      <c r="C21" s="6"/>
      <c r="D21" s="6"/>
      <c r="E21" s="9" t="s">
        <v>23</v>
      </c>
      <c r="F21" s="6"/>
    </row>
    <row r="23" spans="2:6" x14ac:dyDescent="0.3">
      <c r="B23" s="150" t="s">
        <v>203</v>
      </c>
      <c r="C23" s="151"/>
      <c r="D23" s="151"/>
      <c r="E23" s="151"/>
      <c r="F23" s="151"/>
    </row>
  </sheetData>
  <sheetProtection algorithmName="SHA-512" hashValue="VdfPpU93l/k082wf8RilGHxss0rGe5N1CLerhsgcTNirNK27ioSmGsMRsTKjuSGdTVj5G7QSuBt+kdHJ6Usung==" saltValue="ghNiyUDJZKx8ZOMwvhFf+Q==" spinCount="100000" sheet="1" objects="1" scenarios="1"/>
  <mergeCells count="11">
    <mergeCell ref="B2:F2"/>
    <mergeCell ref="B3:F3"/>
    <mergeCell ref="B4:F4"/>
    <mergeCell ref="B8:C8"/>
    <mergeCell ref="D8:E8"/>
    <mergeCell ref="F8:G8"/>
    <mergeCell ref="B9:C9"/>
    <mergeCell ref="D9:E9"/>
    <mergeCell ref="F9:G9"/>
    <mergeCell ref="B13:F13"/>
    <mergeCell ref="B23:F23"/>
  </mergeCells>
  <pageMargins left="0.5" right="0.5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91E"/>
  </sheetPr>
  <dimension ref="A1:H49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5.109375" customWidth="1"/>
    <col min="2" max="4" width="16" customWidth="1"/>
    <col min="5" max="5" width="22" customWidth="1"/>
    <col min="8" max="8" width="9.21875" customWidth="1"/>
  </cols>
  <sheetData>
    <row r="1" spans="1:8" ht="31.5" customHeight="1" x14ac:dyDescent="0.3">
      <c r="A1" s="10" t="s">
        <v>24</v>
      </c>
    </row>
    <row r="2" spans="1:8" ht="18" customHeight="1" x14ac:dyDescent="0.3">
      <c r="A2" s="11" t="s">
        <v>1</v>
      </c>
    </row>
    <row r="3" spans="1:8" ht="13.5" customHeight="1" x14ac:dyDescent="0.3">
      <c r="A3" s="12" t="s">
        <v>25</v>
      </c>
    </row>
    <row r="5" spans="1:8" x14ac:dyDescent="0.3">
      <c r="A5" s="158" t="s">
        <v>204</v>
      </c>
      <c r="B5" s="158"/>
      <c r="C5" s="158"/>
      <c r="D5" s="158"/>
      <c r="E5" s="158"/>
      <c r="F5" s="158"/>
      <c r="G5" s="158"/>
      <c r="H5" s="158"/>
    </row>
    <row r="7" spans="1:8" ht="21.75" customHeight="1" x14ac:dyDescent="0.3">
      <c r="A7" s="13" t="s">
        <v>26</v>
      </c>
      <c r="B7" s="13" t="s">
        <v>27</v>
      </c>
      <c r="C7" s="13" t="s">
        <v>28</v>
      </c>
      <c r="D7" s="13" t="s">
        <v>29</v>
      </c>
      <c r="E7" s="13" t="s">
        <v>30</v>
      </c>
    </row>
    <row r="8" spans="1:8" ht="6.75" customHeight="1" x14ac:dyDescent="0.3">
      <c r="A8" s="6"/>
      <c r="B8" s="6"/>
      <c r="C8" s="6"/>
      <c r="D8" s="6"/>
      <c r="E8" s="6"/>
    </row>
    <row r="9" spans="1:8" ht="15" customHeight="1" x14ac:dyDescent="0.3">
      <c r="A9" s="14" t="s">
        <v>31</v>
      </c>
      <c r="B9" s="14"/>
      <c r="C9" s="14"/>
      <c r="D9" s="14"/>
      <c r="E9" s="14"/>
    </row>
    <row r="10" spans="1:8" ht="15.75" customHeight="1" x14ac:dyDescent="0.3">
      <c r="A10" s="15" t="s">
        <v>32</v>
      </c>
      <c r="B10" s="16">
        <v>19800</v>
      </c>
      <c r="C10" s="17" t="s">
        <v>33</v>
      </c>
      <c r="D10" s="17" t="s">
        <v>33</v>
      </c>
      <c r="E10" s="18" t="s">
        <v>34</v>
      </c>
    </row>
    <row r="11" spans="1:8" ht="15.75" customHeight="1" x14ac:dyDescent="0.3">
      <c r="A11" s="19" t="s">
        <v>35</v>
      </c>
      <c r="B11" s="20">
        <v>12</v>
      </c>
      <c r="C11" s="21" t="s">
        <v>33</v>
      </c>
      <c r="D11" s="21" t="s">
        <v>33</v>
      </c>
      <c r="E11" s="22" t="s">
        <v>36</v>
      </c>
    </row>
    <row r="12" spans="1:8" ht="6.75" customHeight="1" x14ac:dyDescent="0.3">
      <c r="A12" s="6"/>
      <c r="B12" s="6"/>
      <c r="C12" s="6"/>
      <c r="D12" s="6"/>
      <c r="E12" s="6"/>
    </row>
    <row r="13" spans="1:8" ht="15" customHeight="1" x14ac:dyDescent="0.3">
      <c r="A13" s="14" t="s">
        <v>37</v>
      </c>
      <c r="B13" s="14"/>
      <c r="C13" s="14"/>
      <c r="D13" s="14"/>
      <c r="E13" s="14"/>
    </row>
    <row r="14" spans="1:8" ht="18" customHeight="1" x14ac:dyDescent="0.3">
      <c r="A14" s="23" t="s">
        <v>38</v>
      </c>
      <c r="B14" s="23" t="s">
        <v>27</v>
      </c>
      <c r="C14" s="23" t="s">
        <v>28</v>
      </c>
      <c r="D14" s="23" t="s">
        <v>29</v>
      </c>
      <c r="E14" s="23" t="s">
        <v>39</v>
      </c>
    </row>
    <row r="15" spans="1:8" ht="15.75" customHeight="1" x14ac:dyDescent="0.3">
      <c r="A15" s="15" t="s">
        <v>40</v>
      </c>
      <c r="B15" s="24">
        <v>0.03</v>
      </c>
      <c r="C15" s="24">
        <v>0.1</v>
      </c>
      <c r="D15" s="24">
        <v>0.15</v>
      </c>
      <c r="E15" s="25" t="s">
        <v>41</v>
      </c>
    </row>
    <row r="16" spans="1:8" ht="15.75" customHeight="1" x14ac:dyDescent="0.3">
      <c r="A16" s="19" t="s">
        <v>42</v>
      </c>
      <c r="B16" s="26">
        <v>0.03</v>
      </c>
      <c r="C16" s="26">
        <v>0.08</v>
      </c>
      <c r="D16" s="26">
        <v>0.13</v>
      </c>
      <c r="E16" s="27" t="s">
        <v>43</v>
      </c>
    </row>
    <row r="17" spans="1:5" ht="15.75" customHeight="1" x14ac:dyDescent="0.3">
      <c r="A17" s="15" t="s">
        <v>44</v>
      </c>
      <c r="B17" s="24">
        <v>0.02</v>
      </c>
      <c r="C17" s="24">
        <v>7.0000000000000007E-2</v>
      </c>
      <c r="D17" s="24">
        <v>0.12</v>
      </c>
      <c r="E17" s="25" t="s">
        <v>45</v>
      </c>
    </row>
    <row r="18" spans="1:5" ht="15.75" customHeight="1" x14ac:dyDescent="0.3">
      <c r="A18" s="19" t="s">
        <v>46</v>
      </c>
      <c r="B18" s="26">
        <v>0.02</v>
      </c>
      <c r="C18" s="26">
        <v>0.06</v>
      </c>
      <c r="D18" s="26">
        <v>0.11</v>
      </c>
      <c r="E18" s="27" t="s">
        <v>47</v>
      </c>
    </row>
    <row r="19" spans="1:5" ht="15.75" customHeight="1" x14ac:dyDescent="0.3">
      <c r="A19" s="15" t="s">
        <v>48</v>
      </c>
      <c r="B19" s="24">
        <v>0.02</v>
      </c>
      <c r="C19" s="24">
        <v>0.05</v>
      </c>
      <c r="D19" s="24">
        <v>0.1</v>
      </c>
      <c r="E19" s="25" t="s">
        <v>49</v>
      </c>
    </row>
    <row r="20" spans="1:5" ht="6.75" customHeight="1" x14ac:dyDescent="0.3">
      <c r="A20" s="6"/>
      <c r="B20" s="6"/>
      <c r="C20" s="6"/>
      <c r="D20" s="6"/>
      <c r="E20" s="6"/>
    </row>
    <row r="22" spans="1:5" ht="18" customHeight="1" x14ac:dyDescent="0.3">
      <c r="A22" s="23" t="s">
        <v>38</v>
      </c>
      <c r="B22" s="23" t="s">
        <v>27</v>
      </c>
      <c r="C22" s="23" t="s">
        <v>28</v>
      </c>
      <c r="D22" s="23" t="s">
        <v>29</v>
      </c>
      <c r="E22" s="23" t="s">
        <v>50</v>
      </c>
    </row>
    <row r="23" spans="1:5" ht="15.75" customHeight="1" x14ac:dyDescent="0.3">
      <c r="A23" s="15" t="s">
        <v>40</v>
      </c>
      <c r="B23" s="28">
        <v>1</v>
      </c>
      <c r="C23" s="28">
        <v>4</v>
      </c>
      <c r="D23" s="28">
        <v>5</v>
      </c>
      <c r="E23" s="25" t="s">
        <v>51</v>
      </c>
    </row>
    <row r="24" spans="1:5" ht="15.75" customHeight="1" x14ac:dyDescent="0.3">
      <c r="A24" s="19" t="s">
        <v>42</v>
      </c>
      <c r="B24" s="20">
        <v>1</v>
      </c>
      <c r="C24" s="20">
        <v>3</v>
      </c>
      <c r="D24" s="20">
        <v>5</v>
      </c>
      <c r="E24" s="27" t="s">
        <v>52</v>
      </c>
    </row>
    <row r="25" spans="1:5" ht="15.75" customHeight="1" x14ac:dyDescent="0.3">
      <c r="A25" s="15" t="s">
        <v>44</v>
      </c>
      <c r="B25" s="28">
        <v>1</v>
      </c>
      <c r="C25" s="28">
        <v>3</v>
      </c>
      <c r="D25" s="28">
        <v>4</v>
      </c>
      <c r="E25" s="25" t="s">
        <v>53</v>
      </c>
    </row>
    <row r="26" spans="1:5" ht="15.75" customHeight="1" x14ac:dyDescent="0.3">
      <c r="A26" s="19" t="s">
        <v>46</v>
      </c>
      <c r="B26" s="20">
        <v>0</v>
      </c>
      <c r="C26" s="20">
        <v>2</v>
      </c>
      <c r="D26" s="20">
        <v>3</v>
      </c>
      <c r="E26" s="27" t="s">
        <v>54</v>
      </c>
    </row>
    <row r="27" spans="1:5" ht="15.75" customHeight="1" x14ac:dyDescent="0.3">
      <c r="A27" s="15" t="s">
        <v>48</v>
      </c>
      <c r="B27" s="28">
        <v>0</v>
      </c>
      <c r="C27" s="28">
        <v>2</v>
      </c>
      <c r="D27" s="28">
        <v>3</v>
      </c>
      <c r="E27" s="25" t="s">
        <v>55</v>
      </c>
    </row>
    <row r="28" spans="1:5" ht="6.75" customHeight="1" x14ac:dyDescent="0.3">
      <c r="A28" s="6"/>
      <c r="B28" s="6"/>
      <c r="C28" s="6"/>
      <c r="D28" s="6"/>
      <c r="E28" s="6"/>
    </row>
    <row r="29" spans="1:5" ht="15" customHeight="1" x14ac:dyDescent="0.3">
      <c r="A29" s="14" t="s">
        <v>56</v>
      </c>
      <c r="B29" s="14"/>
      <c r="C29" s="14"/>
      <c r="D29" s="14"/>
      <c r="E29" s="14"/>
    </row>
    <row r="30" spans="1:5" ht="15.75" customHeight="1" x14ac:dyDescent="0.3">
      <c r="A30" s="15" t="s">
        <v>57</v>
      </c>
      <c r="B30" s="16">
        <v>900</v>
      </c>
      <c r="C30" s="16">
        <v>1800</v>
      </c>
      <c r="D30" s="16">
        <v>2200</v>
      </c>
      <c r="E30" s="18" t="s">
        <v>58</v>
      </c>
    </row>
    <row r="31" spans="1:5" ht="15.75" customHeight="1" x14ac:dyDescent="0.3">
      <c r="A31" s="19" t="s">
        <v>59</v>
      </c>
      <c r="B31" s="26">
        <v>0.5</v>
      </c>
      <c r="C31" s="26">
        <v>0.65</v>
      </c>
      <c r="D31" s="26">
        <v>0.75</v>
      </c>
      <c r="E31" s="22" t="s">
        <v>60</v>
      </c>
    </row>
    <row r="32" spans="1:5" ht="6.75" customHeight="1" x14ac:dyDescent="0.3">
      <c r="A32" s="6"/>
      <c r="B32" s="6"/>
      <c r="C32" s="6"/>
      <c r="D32" s="6"/>
      <c r="E32" s="6"/>
    </row>
    <row r="33" spans="1:5" ht="15" customHeight="1" x14ac:dyDescent="0.3">
      <c r="A33" s="14" t="s">
        <v>61</v>
      </c>
      <c r="B33" s="14"/>
      <c r="C33" s="14"/>
      <c r="D33" s="14"/>
      <c r="E33" s="14"/>
    </row>
    <row r="34" spans="1:5" ht="18" customHeight="1" x14ac:dyDescent="0.3">
      <c r="A34" s="23" t="s">
        <v>62</v>
      </c>
      <c r="B34" s="23" t="s">
        <v>63</v>
      </c>
      <c r="C34" s="23" t="s">
        <v>33</v>
      </c>
      <c r="D34" s="23" t="s">
        <v>33</v>
      </c>
      <c r="E34" s="23" t="s">
        <v>64</v>
      </c>
    </row>
    <row r="35" spans="1:5" ht="15.75" customHeight="1" x14ac:dyDescent="0.3">
      <c r="A35" s="15" t="s">
        <v>65</v>
      </c>
      <c r="B35" s="29">
        <v>0.72</v>
      </c>
      <c r="C35" s="17" t="s">
        <v>33</v>
      </c>
      <c r="D35" s="17" t="s">
        <v>33</v>
      </c>
      <c r="E35" s="25" t="s">
        <v>66</v>
      </c>
    </row>
    <row r="36" spans="1:5" ht="15.75" customHeight="1" x14ac:dyDescent="0.3">
      <c r="A36" s="19" t="s">
        <v>67</v>
      </c>
      <c r="B36" s="30">
        <v>0.78</v>
      </c>
      <c r="C36" s="21" t="s">
        <v>33</v>
      </c>
      <c r="D36" s="21" t="s">
        <v>33</v>
      </c>
      <c r="E36" s="27" t="s">
        <v>68</v>
      </c>
    </row>
    <row r="37" spans="1:5" ht="15.75" customHeight="1" x14ac:dyDescent="0.3">
      <c r="A37" s="15" t="s">
        <v>69</v>
      </c>
      <c r="B37" s="29">
        <v>0.9</v>
      </c>
      <c r="C37" s="17" t="s">
        <v>33</v>
      </c>
      <c r="D37" s="17" t="s">
        <v>33</v>
      </c>
      <c r="E37" s="25" t="s">
        <v>70</v>
      </c>
    </row>
    <row r="38" spans="1:5" ht="15.75" customHeight="1" x14ac:dyDescent="0.3">
      <c r="A38" s="19" t="s">
        <v>71</v>
      </c>
      <c r="B38" s="30">
        <v>0.92</v>
      </c>
      <c r="C38" s="21" t="s">
        <v>33</v>
      </c>
      <c r="D38" s="21" t="s">
        <v>33</v>
      </c>
      <c r="E38" s="27" t="s">
        <v>72</v>
      </c>
    </row>
    <row r="39" spans="1:5" ht="15.75" customHeight="1" x14ac:dyDescent="0.3">
      <c r="A39" s="15" t="s">
        <v>73</v>
      </c>
      <c r="B39" s="29">
        <v>0.95</v>
      </c>
      <c r="C39" s="17" t="s">
        <v>33</v>
      </c>
      <c r="D39" s="17" t="s">
        <v>33</v>
      </c>
      <c r="E39" s="25" t="s">
        <v>74</v>
      </c>
    </row>
    <row r="40" spans="1:5" ht="15.75" customHeight="1" x14ac:dyDescent="0.3">
      <c r="A40" s="19" t="s">
        <v>75</v>
      </c>
      <c r="B40" s="30">
        <v>0.92</v>
      </c>
      <c r="C40" s="21" t="s">
        <v>33</v>
      </c>
      <c r="D40" s="21" t="s">
        <v>33</v>
      </c>
      <c r="E40" s="27" t="s">
        <v>76</v>
      </c>
    </row>
    <row r="41" spans="1:5" ht="15.75" customHeight="1" x14ac:dyDescent="0.3">
      <c r="A41" s="15" t="s">
        <v>77</v>
      </c>
      <c r="B41" s="29">
        <v>0.89</v>
      </c>
      <c r="C41" s="17" t="s">
        <v>33</v>
      </c>
      <c r="D41" s="17" t="s">
        <v>33</v>
      </c>
      <c r="E41" s="25" t="s">
        <v>78</v>
      </c>
    </row>
    <row r="42" spans="1:5" ht="15.75" customHeight="1" x14ac:dyDescent="0.3">
      <c r="A42" s="19" t="s">
        <v>79</v>
      </c>
      <c r="B42" s="30">
        <v>0.91</v>
      </c>
      <c r="C42" s="21" t="s">
        <v>33</v>
      </c>
      <c r="D42" s="21" t="s">
        <v>33</v>
      </c>
      <c r="E42" s="27" t="s">
        <v>80</v>
      </c>
    </row>
    <row r="43" spans="1:5" ht="15.75" customHeight="1" x14ac:dyDescent="0.3">
      <c r="A43" s="15" t="s">
        <v>81</v>
      </c>
      <c r="B43" s="29">
        <v>0.95</v>
      </c>
      <c r="C43" s="17" t="s">
        <v>33</v>
      </c>
      <c r="D43" s="17" t="s">
        <v>33</v>
      </c>
      <c r="E43" s="25" t="s">
        <v>82</v>
      </c>
    </row>
    <row r="44" spans="1:5" ht="15.75" customHeight="1" x14ac:dyDescent="0.3">
      <c r="A44" s="19" t="s">
        <v>83</v>
      </c>
      <c r="B44" s="30">
        <v>1.08</v>
      </c>
      <c r="C44" s="21" t="s">
        <v>33</v>
      </c>
      <c r="D44" s="21" t="s">
        <v>33</v>
      </c>
      <c r="E44" s="27" t="s">
        <v>84</v>
      </c>
    </row>
    <row r="45" spans="1:5" ht="15.75" customHeight="1" x14ac:dyDescent="0.3">
      <c r="A45" s="15" t="s">
        <v>85</v>
      </c>
      <c r="B45" s="29">
        <v>1.38</v>
      </c>
      <c r="C45" s="17" t="s">
        <v>33</v>
      </c>
      <c r="D45" s="17" t="s">
        <v>33</v>
      </c>
      <c r="E45" s="25" t="s">
        <v>86</v>
      </c>
    </row>
    <row r="46" spans="1:5" ht="15.75" customHeight="1" x14ac:dyDescent="0.3">
      <c r="A46" s="19" t="s">
        <v>87</v>
      </c>
      <c r="B46" s="30">
        <v>1.6</v>
      </c>
      <c r="C46" s="21" t="s">
        <v>33</v>
      </c>
      <c r="D46" s="21" t="s">
        <v>33</v>
      </c>
      <c r="E46" s="27" t="s">
        <v>88</v>
      </c>
    </row>
    <row r="47" spans="1:5" ht="16.5" customHeight="1" x14ac:dyDescent="0.3">
      <c r="A47" s="31" t="s">
        <v>89</v>
      </c>
      <c r="B47" s="32">
        <f>SUM(B35:B46)</f>
        <v>11.999999999999998</v>
      </c>
      <c r="C47" s="33"/>
      <c r="D47" s="33"/>
      <c r="E47" s="33"/>
    </row>
    <row r="48" spans="1:5" ht="6.75" customHeight="1" x14ac:dyDescent="0.3">
      <c r="A48" s="6"/>
      <c r="B48" s="6"/>
      <c r="C48" s="6"/>
      <c r="D48" s="6"/>
      <c r="E48" s="6"/>
    </row>
    <row r="49" spans="1:5" ht="27.75" customHeight="1" x14ac:dyDescent="0.3">
      <c r="A49" s="159" t="s">
        <v>90</v>
      </c>
      <c r="B49" s="159"/>
      <c r="C49" s="159"/>
      <c r="D49" s="159"/>
      <c r="E49" s="159"/>
    </row>
  </sheetData>
  <sheetProtection algorithmName="SHA-512" hashValue="5NZHIxxi1lHLKZIHuuIKsQ83RfvoVe83h+bZJ3O/EUgKwNqTAwiAL0Ys9h4+3a1bTRRoVPJgHi/lZ4Y0GV1TJw==" saltValue="FTlg3x0OkQNhqv+kEIrFgw==" spinCount="100000" sheet="1" objects="1" scenarios="1"/>
  <mergeCells count="2">
    <mergeCell ref="A5:H5"/>
    <mergeCell ref="A49:E49"/>
  </mergeCells>
  <pageMargins left="0.5" right="0.5" top="0.75" bottom="0.7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D6F"/>
  </sheetPr>
  <dimension ref="A1:I46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38.77734375" customWidth="1"/>
    <col min="2" max="2" width="12" customWidth="1"/>
    <col min="3" max="8" width="13" customWidth="1"/>
  </cols>
  <sheetData>
    <row r="1" spans="1:9" ht="31.5" customHeight="1" x14ac:dyDescent="0.3">
      <c r="A1" s="10" t="s">
        <v>91</v>
      </c>
    </row>
    <row r="2" spans="1:9" ht="18" customHeight="1" x14ac:dyDescent="0.3">
      <c r="A2" s="11" t="s">
        <v>1</v>
      </c>
    </row>
    <row r="3" spans="1:9" ht="13.5" customHeight="1" x14ac:dyDescent="0.3">
      <c r="A3" s="12" t="s">
        <v>92</v>
      </c>
    </row>
    <row r="5" spans="1:9" s="143" customFormat="1" x14ac:dyDescent="0.3">
      <c r="A5" s="160" t="s">
        <v>205</v>
      </c>
      <c r="B5" s="160"/>
      <c r="C5" s="160"/>
      <c r="D5" s="160"/>
      <c r="E5" s="160"/>
      <c r="F5" s="160"/>
      <c r="G5" s="160"/>
      <c r="H5" s="160"/>
    </row>
    <row r="7" spans="1:9" ht="24" customHeight="1" x14ac:dyDescent="0.3">
      <c r="A7" s="13"/>
      <c r="B7" s="13" t="s">
        <v>93</v>
      </c>
      <c r="C7" s="13" t="s">
        <v>40</v>
      </c>
      <c r="D7" s="13" t="s">
        <v>42</v>
      </c>
      <c r="E7" s="13" t="s">
        <v>44</v>
      </c>
      <c r="F7" s="13" t="s">
        <v>46</v>
      </c>
      <c r="G7" s="13" t="s">
        <v>48</v>
      </c>
      <c r="H7" s="13" t="s">
        <v>94</v>
      </c>
    </row>
    <row r="8" spans="1:9" ht="6.75" customHeight="1" x14ac:dyDescent="0.3">
      <c r="A8" s="6"/>
      <c r="B8" s="6"/>
      <c r="C8" s="6"/>
      <c r="D8" s="6"/>
      <c r="E8" s="6"/>
      <c r="F8" s="6"/>
      <c r="G8" s="6"/>
      <c r="H8" s="6"/>
      <c r="I8" s="6"/>
    </row>
    <row r="9" spans="1:9" ht="15" customHeight="1" x14ac:dyDescent="0.3">
      <c r="A9" s="35" t="s">
        <v>95</v>
      </c>
      <c r="B9" s="35"/>
      <c r="C9" s="35"/>
      <c r="D9" s="35"/>
      <c r="E9" s="35"/>
      <c r="F9" s="35"/>
      <c r="G9" s="35"/>
      <c r="H9" s="35"/>
    </row>
    <row r="10" spans="1:9" ht="15" customHeight="1" x14ac:dyDescent="0.3">
      <c r="A10" s="36" t="s">
        <v>96</v>
      </c>
      <c r="B10" s="37" t="s">
        <v>97</v>
      </c>
      <c r="C10" s="37" t="s">
        <v>40</v>
      </c>
      <c r="D10" s="37" t="s">
        <v>42</v>
      </c>
      <c r="E10" s="37" t="s">
        <v>44</v>
      </c>
      <c r="F10" s="37" t="s">
        <v>46</v>
      </c>
      <c r="G10" s="37" t="s">
        <v>48</v>
      </c>
      <c r="H10" s="37" t="s">
        <v>98</v>
      </c>
    </row>
    <row r="11" spans="1:9" ht="18" customHeight="1" x14ac:dyDescent="0.3">
      <c r="A11" s="38" t="s">
        <v>99</v>
      </c>
      <c r="B11" s="39">
        <f>Assumptions!B10</f>
        <v>19800</v>
      </c>
      <c r="C11" s="40">
        <f>Assumptions!B10*(1+Assumptions!B15)+Assumptions!B23*Assumptions!B30*Assumptions!B31</f>
        <v>20844</v>
      </c>
      <c r="D11" s="40">
        <f>C11*(1+Assumptions!B16)+Assumptions!B24*Assumptions!B30*Assumptions!B31</f>
        <v>21919.32</v>
      </c>
      <c r="E11" s="40">
        <f>D11*(1+Assumptions!B17)+Assumptions!B25*Assumptions!B30*Assumptions!B31</f>
        <v>22807.706399999999</v>
      </c>
      <c r="F11" s="40">
        <f>E11*(1+Assumptions!B18)+Assumptions!B26*Assumptions!B30*Assumptions!B31</f>
        <v>23263.860528000001</v>
      </c>
      <c r="G11" s="40">
        <f>F11*(1+Assumptions!B19)+Assumptions!B27*Assumptions!B30*Assumptions!B31</f>
        <v>23729.137738560003</v>
      </c>
      <c r="H11" s="41">
        <f>(G11/Assumptions!B10)^(1/5)-1</f>
        <v>3.6867718245359837E-2</v>
      </c>
      <c r="I11" s="42"/>
    </row>
    <row r="12" spans="1:9" ht="18" customHeight="1" x14ac:dyDescent="0.3">
      <c r="A12" s="43" t="s">
        <v>100</v>
      </c>
      <c r="B12" s="44">
        <f>Assumptions!B10</f>
        <v>19800</v>
      </c>
      <c r="C12" s="45">
        <f>Assumptions!B10*(1+Assumptions!C15)+Assumptions!C23*Assumptions!C30*Assumptions!C31</f>
        <v>26460</v>
      </c>
      <c r="D12" s="45">
        <f>C12*(1+Assumptions!C16)+Assumptions!C24*Assumptions!C30*Assumptions!C31</f>
        <v>32086.800000000003</v>
      </c>
      <c r="E12" s="45">
        <f>D12*(1+Assumptions!C17)+Assumptions!C25*Assumptions!C30*Assumptions!C31</f>
        <v>37842.876000000004</v>
      </c>
      <c r="F12" s="45">
        <f>E12*(1+Assumptions!C18)+Assumptions!C26*Assumptions!C30*Assumptions!C31</f>
        <v>42453.448560000004</v>
      </c>
      <c r="G12" s="45">
        <f>F12*(1+Assumptions!C19)+Assumptions!C27*Assumptions!C30*Assumptions!C31</f>
        <v>46916.12098800001</v>
      </c>
      <c r="H12" s="46">
        <f>(G12/Assumptions!B10)^(1/5)-1</f>
        <v>0.18831445889646647</v>
      </c>
      <c r="I12" s="47"/>
    </row>
    <row r="13" spans="1:9" ht="18" customHeight="1" x14ac:dyDescent="0.3">
      <c r="A13" s="48" t="s">
        <v>101</v>
      </c>
      <c r="B13" s="49">
        <f>Assumptions!B10</f>
        <v>19800</v>
      </c>
      <c r="C13" s="50">
        <f>Assumptions!B10*(1+Assumptions!D15)+Assumptions!D23*Assumptions!D30*Assumptions!D31</f>
        <v>31020</v>
      </c>
      <c r="D13" s="50">
        <f>C13*(1+Assumptions!D16)+Assumptions!D24*Assumptions!D30*Assumptions!D31</f>
        <v>43302.6</v>
      </c>
      <c r="E13" s="50">
        <f>D13*(1+Assumptions!D17)+Assumptions!D25*Assumptions!D30*Assumptions!D31</f>
        <v>55098.912000000004</v>
      </c>
      <c r="F13" s="50">
        <f>E13*(1+Assumptions!D18)+Assumptions!D26*Assumptions!D30*Assumptions!D31</f>
        <v>66109.792320000008</v>
      </c>
      <c r="G13" s="50">
        <f>F13*(1+Assumptions!D19)+Assumptions!D27*Assumptions!D30*Assumptions!D31</f>
        <v>77670.77155200002</v>
      </c>
      <c r="H13" s="51">
        <f>(G13/Assumptions!B10)^(1/5)-1</f>
        <v>0.31437256604977204</v>
      </c>
      <c r="I13" s="52"/>
    </row>
    <row r="14" spans="1:9" ht="6.75" customHeight="1" x14ac:dyDescent="0.3">
      <c r="A14" s="6"/>
      <c r="B14" s="6"/>
      <c r="C14" s="6"/>
      <c r="D14" s="6"/>
      <c r="E14" s="6"/>
      <c r="F14" s="6"/>
      <c r="G14" s="6"/>
      <c r="H14" s="6"/>
      <c r="I14" s="6"/>
    </row>
    <row r="15" spans="1:9" ht="15" customHeight="1" x14ac:dyDescent="0.3">
      <c r="A15" s="53" t="s">
        <v>102</v>
      </c>
      <c r="B15" s="53"/>
      <c r="C15" s="53"/>
      <c r="D15" s="53"/>
      <c r="E15" s="53"/>
      <c r="F15" s="53"/>
      <c r="G15" s="53"/>
      <c r="H15" s="53"/>
    </row>
    <row r="16" spans="1:9" ht="15" customHeight="1" x14ac:dyDescent="0.3">
      <c r="A16" s="54" t="s">
        <v>103</v>
      </c>
      <c r="B16" s="55" t="s">
        <v>33</v>
      </c>
      <c r="C16" s="56">
        <f t="shared" ref="C16:G18" si="0">C11/B11-1</f>
        <v>5.2727272727272734E-2</v>
      </c>
      <c r="D16" s="56">
        <f t="shared" si="0"/>
        <v>5.158894645941281E-2</v>
      </c>
      <c r="E16" s="56">
        <f t="shared" si="0"/>
        <v>4.0529833954702887E-2</v>
      </c>
      <c r="F16" s="56">
        <f t="shared" si="0"/>
        <v>2.0000000000000018E-2</v>
      </c>
      <c r="G16" s="56">
        <f t="shared" si="0"/>
        <v>2.0000000000000018E-2</v>
      </c>
      <c r="H16" s="55" t="s">
        <v>33</v>
      </c>
      <c r="I16" s="42"/>
    </row>
    <row r="17" spans="1:9" ht="15" customHeight="1" x14ac:dyDescent="0.3">
      <c r="A17" s="57" t="s">
        <v>104</v>
      </c>
      <c r="B17" s="58" t="s">
        <v>33</v>
      </c>
      <c r="C17" s="59">
        <f t="shared" si="0"/>
        <v>0.33636363636363642</v>
      </c>
      <c r="D17" s="59">
        <f t="shared" si="0"/>
        <v>0.2126530612244899</v>
      </c>
      <c r="E17" s="59">
        <f t="shared" si="0"/>
        <v>0.17939077751598798</v>
      </c>
      <c r="F17" s="59">
        <f t="shared" si="0"/>
        <v>0.12183462377436638</v>
      </c>
      <c r="G17" s="59">
        <f t="shared" si="0"/>
        <v>0.10511919712936524</v>
      </c>
      <c r="H17" s="58" t="s">
        <v>33</v>
      </c>
      <c r="I17" s="47"/>
    </row>
    <row r="18" spans="1:9" ht="15" customHeight="1" x14ac:dyDescent="0.3">
      <c r="A18" s="60" t="s">
        <v>105</v>
      </c>
      <c r="B18" s="61" t="s">
        <v>33</v>
      </c>
      <c r="C18" s="62">
        <f t="shared" si="0"/>
        <v>0.56666666666666665</v>
      </c>
      <c r="D18" s="62">
        <f t="shared" si="0"/>
        <v>0.39595744680851053</v>
      </c>
      <c r="E18" s="62">
        <f t="shared" si="0"/>
        <v>0.27241579027587282</v>
      </c>
      <c r="F18" s="62">
        <f t="shared" si="0"/>
        <v>0.19983843455928874</v>
      </c>
      <c r="G18" s="62">
        <f t="shared" si="0"/>
        <v>0.17487544320272352</v>
      </c>
      <c r="H18" s="61" t="s">
        <v>33</v>
      </c>
      <c r="I18" s="52"/>
    </row>
    <row r="19" spans="1:9" ht="6.75" customHeight="1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ht="15" customHeight="1" x14ac:dyDescent="0.3">
      <c r="A20" s="53" t="s">
        <v>106</v>
      </c>
      <c r="B20" s="53"/>
      <c r="C20" s="53"/>
      <c r="D20" s="53"/>
      <c r="E20" s="53"/>
      <c r="F20" s="53"/>
      <c r="G20" s="53"/>
      <c r="H20" s="53"/>
    </row>
    <row r="21" spans="1:9" ht="15.75" customHeight="1" x14ac:dyDescent="0.3">
      <c r="A21" s="54" t="s">
        <v>103</v>
      </c>
      <c r="B21" s="63">
        <f>Assumptions!B11</f>
        <v>12</v>
      </c>
      <c r="C21" s="64">
        <f>B21+Assumptions!B23</f>
        <v>13</v>
      </c>
      <c r="D21" s="64">
        <f>C21+Assumptions!B24</f>
        <v>14</v>
      </c>
      <c r="E21" s="64">
        <f>D21+Assumptions!B25</f>
        <v>15</v>
      </c>
      <c r="F21" s="64">
        <f>E21+Assumptions!B26</f>
        <v>15</v>
      </c>
      <c r="G21" s="64">
        <f>F21+Assumptions!B27</f>
        <v>15</v>
      </c>
      <c r="H21" s="65">
        <f>G21</f>
        <v>15</v>
      </c>
      <c r="I21" s="42"/>
    </row>
    <row r="22" spans="1:9" ht="15.75" customHeight="1" x14ac:dyDescent="0.3">
      <c r="A22" s="57" t="s">
        <v>104</v>
      </c>
      <c r="B22" s="66">
        <f>Assumptions!B11</f>
        <v>12</v>
      </c>
      <c r="C22" s="67">
        <f>B22+Assumptions!C23</f>
        <v>16</v>
      </c>
      <c r="D22" s="67">
        <f>C22+Assumptions!C24</f>
        <v>19</v>
      </c>
      <c r="E22" s="67">
        <f>D22+Assumptions!C25</f>
        <v>22</v>
      </c>
      <c r="F22" s="67">
        <f>E22+Assumptions!C26</f>
        <v>24</v>
      </c>
      <c r="G22" s="67">
        <f>F22+Assumptions!C27</f>
        <v>26</v>
      </c>
      <c r="H22" s="68">
        <f>G22</f>
        <v>26</v>
      </c>
      <c r="I22" s="47"/>
    </row>
    <row r="23" spans="1:9" ht="15.75" customHeight="1" x14ac:dyDescent="0.3">
      <c r="A23" s="60" t="s">
        <v>105</v>
      </c>
      <c r="B23" s="69">
        <f>Assumptions!B11</f>
        <v>12</v>
      </c>
      <c r="C23" s="70">
        <f>B23+Assumptions!D23</f>
        <v>17</v>
      </c>
      <c r="D23" s="70">
        <f>C23+Assumptions!D24</f>
        <v>22</v>
      </c>
      <c r="E23" s="70">
        <f>D23+Assumptions!D25</f>
        <v>26</v>
      </c>
      <c r="F23" s="70">
        <f>E23+Assumptions!D26</f>
        <v>29</v>
      </c>
      <c r="G23" s="70">
        <f>F23+Assumptions!D27</f>
        <v>32</v>
      </c>
      <c r="H23" s="71">
        <f>G23</f>
        <v>32</v>
      </c>
      <c r="I23" s="52"/>
    </row>
    <row r="24" spans="1:9" ht="6.75" customHeight="1" x14ac:dyDescent="0.3">
      <c r="A24" s="6"/>
      <c r="B24" s="6"/>
      <c r="C24" s="6"/>
      <c r="D24" s="6"/>
      <c r="E24" s="6"/>
      <c r="F24" s="6"/>
      <c r="G24" s="6"/>
      <c r="H24" s="6"/>
      <c r="I24" s="6"/>
    </row>
    <row r="25" spans="1:9" ht="16.5" customHeight="1" x14ac:dyDescent="0.3">
      <c r="A25" s="72" t="s">
        <v>107</v>
      </c>
      <c r="B25" s="72"/>
      <c r="C25" s="72"/>
      <c r="D25" s="72"/>
      <c r="E25" s="72"/>
      <c r="F25" s="72"/>
      <c r="G25" s="72"/>
      <c r="H25" s="72"/>
      <c r="I25" s="72"/>
    </row>
    <row r="26" spans="1:9" ht="15" customHeight="1" x14ac:dyDescent="0.3">
      <c r="A26" s="73" t="s">
        <v>108</v>
      </c>
      <c r="B26" s="74" t="s">
        <v>93</v>
      </c>
      <c r="C26" s="74" t="s">
        <v>40</v>
      </c>
      <c r="D26" s="74" t="s">
        <v>42</v>
      </c>
      <c r="E26" s="74" t="s">
        <v>44</v>
      </c>
      <c r="F26" s="74" t="s">
        <v>46</v>
      </c>
      <c r="G26" s="74" t="s">
        <v>48</v>
      </c>
      <c r="H26" s="33"/>
      <c r="I26" s="33"/>
    </row>
    <row r="27" spans="1:9" ht="15.75" customHeight="1" x14ac:dyDescent="0.3">
      <c r="A27" s="75" t="s">
        <v>109</v>
      </c>
      <c r="B27" s="17" t="s">
        <v>33</v>
      </c>
      <c r="C27" s="76">
        <f>Assumptions!B10</f>
        <v>19800</v>
      </c>
      <c r="D27" s="76">
        <f>C12</f>
        <v>26460</v>
      </c>
      <c r="E27" s="76">
        <f>D12</f>
        <v>32086.800000000003</v>
      </c>
      <c r="F27" s="76">
        <f>E12</f>
        <v>37842.876000000004</v>
      </c>
      <c r="G27" s="76">
        <f>F12</f>
        <v>42453.448560000004</v>
      </c>
      <c r="H27" s="17" t="s">
        <v>33</v>
      </c>
      <c r="I27" s="6"/>
    </row>
    <row r="28" spans="1:9" ht="15.75" customHeight="1" x14ac:dyDescent="0.3">
      <c r="A28" s="77" t="s">
        <v>110</v>
      </c>
      <c r="B28" s="21" t="s">
        <v>33</v>
      </c>
      <c r="C28" s="78">
        <f>Assumptions!B10*Assumptions!C15</f>
        <v>1980</v>
      </c>
      <c r="D28" s="78">
        <f>C12*Assumptions!C16</f>
        <v>2116.8000000000002</v>
      </c>
      <c r="E28" s="78">
        <f>D12*Assumptions!C17</f>
        <v>2246.0760000000005</v>
      </c>
      <c r="F28" s="78">
        <f>E12*Assumptions!C18</f>
        <v>2270.5725600000001</v>
      </c>
      <c r="G28" s="78">
        <f>F12*Assumptions!C19</f>
        <v>2122.6724280000003</v>
      </c>
      <c r="H28" s="21" t="s">
        <v>33</v>
      </c>
      <c r="I28" s="8"/>
    </row>
    <row r="29" spans="1:9" ht="15.75" customHeight="1" x14ac:dyDescent="0.3">
      <c r="A29" s="75" t="s">
        <v>111</v>
      </c>
      <c r="B29" s="17" t="s">
        <v>33</v>
      </c>
      <c r="C29" s="76">
        <f>Assumptions!C23*Assumptions!C30*Assumptions!C31</f>
        <v>4680</v>
      </c>
      <c r="D29" s="76">
        <f>Assumptions!C24*Assumptions!C30*Assumptions!C31</f>
        <v>3510</v>
      </c>
      <c r="E29" s="76">
        <f>Assumptions!C25*Assumptions!C30*Assumptions!C31</f>
        <v>3510</v>
      </c>
      <c r="F29" s="76">
        <f>Assumptions!C26*Assumptions!C30*Assumptions!C31</f>
        <v>2340</v>
      </c>
      <c r="G29" s="76">
        <f>Assumptions!C27*Assumptions!C30*Assumptions!C31</f>
        <v>2340</v>
      </c>
      <c r="H29" s="17" t="s">
        <v>33</v>
      </c>
      <c r="I29" s="6"/>
    </row>
    <row r="30" spans="1:9" ht="16.5" customHeight="1" x14ac:dyDescent="0.3">
      <c r="A30" s="79" t="s">
        <v>112</v>
      </c>
      <c r="B30" s="80">
        <f>Assumptions!B10</f>
        <v>19800</v>
      </c>
      <c r="C30" s="81">
        <f>C12</f>
        <v>26460</v>
      </c>
      <c r="D30" s="81">
        <f>D12</f>
        <v>32086.800000000003</v>
      </c>
      <c r="E30" s="81">
        <f>E12</f>
        <v>37842.876000000004</v>
      </c>
      <c r="F30" s="81">
        <f>F12</f>
        <v>42453.448560000004</v>
      </c>
      <c r="G30" s="81">
        <f>G12</f>
        <v>46916.12098800001</v>
      </c>
      <c r="H30" s="82">
        <f>(G12/Assumptions!B10)^(1/5)-1</f>
        <v>0.18831445889646647</v>
      </c>
      <c r="I30" s="47"/>
    </row>
    <row r="31" spans="1:9" ht="6.75" customHeight="1" x14ac:dyDescent="0.3">
      <c r="A31" s="6"/>
      <c r="B31" s="6"/>
      <c r="C31" s="6"/>
      <c r="D31" s="6"/>
      <c r="E31" s="6"/>
      <c r="F31" s="6"/>
      <c r="G31" s="6"/>
      <c r="H31" s="6"/>
      <c r="I31" s="6"/>
    </row>
    <row r="32" spans="1:9" ht="16.5" customHeight="1" x14ac:dyDescent="0.3">
      <c r="A32" s="83" t="s">
        <v>113</v>
      </c>
      <c r="B32" s="83"/>
      <c r="C32" s="83"/>
      <c r="D32" s="83"/>
      <c r="E32" s="83"/>
      <c r="F32" s="83"/>
      <c r="G32" s="83"/>
      <c r="H32" s="83"/>
      <c r="I32" s="83"/>
    </row>
    <row r="33" spans="1:9" ht="15" customHeight="1" x14ac:dyDescent="0.3">
      <c r="A33" s="73" t="s">
        <v>108</v>
      </c>
      <c r="B33" s="74" t="s">
        <v>93</v>
      </c>
      <c r="C33" s="74" t="s">
        <v>40</v>
      </c>
      <c r="D33" s="74" t="s">
        <v>42</v>
      </c>
      <c r="E33" s="74" t="s">
        <v>44</v>
      </c>
      <c r="F33" s="74" t="s">
        <v>46</v>
      </c>
      <c r="G33" s="74" t="s">
        <v>48</v>
      </c>
      <c r="H33" s="33"/>
      <c r="I33" s="33"/>
    </row>
    <row r="34" spans="1:9" ht="15.75" customHeight="1" x14ac:dyDescent="0.3">
      <c r="A34" s="75" t="s">
        <v>109</v>
      </c>
      <c r="B34" s="17" t="s">
        <v>33</v>
      </c>
      <c r="C34" s="76">
        <f>Assumptions!B10</f>
        <v>19800</v>
      </c>
      <c r="D34" s="76">
        <f>C11</f>
        <v>20844</v>
      </c>
      <c r="E34" s="76">
        <f>D11</f>
        <v>21919.32</v>
      </c>
      <c r="F34" s="76">
        <f>E11</f>
        <v>22807.706399999999</v>
      </c>
      <c r="G34" s="76">
        <f>F11</f>
        <v>23263.860528000001</v>
      </c>
      <c r="H34" s="17" t="s">
        <v>33</v>
      </c>
      <c r="I34" s="6"/>
    </row>
    <row r="35" spans="1:9" ht="15.75" customHeight="1" x14ac:dyDescent="0.3">
      <c r="A35" s="77" t="s">
        <v>110</v>
      </c>
      <c r="B35" s="21" t="s">
        <v>33</v>
      </c>
      <c r="C35" s="78">
        <f>Assumptions!B10*Assumptions!B15</f>
        <v>594</v>
      </c>
      <c r="D35" s="78">
        <f>C11*Assumptions!B16</f>
        <v>625.31999999999994</v>
      </c>
      <c r="E35" s="78">
        <f>D11*Assumptions!B17</f>
        <v>438.38639999999998</v>
      </c>
      <c r="F35" s="78">
        <f>E11*Assumptions!B18</f>
        <v>456.15412800000001</v>
      </c>
      <c r="G35" s="78">
        <f>F11*Assumptions!B19</f>
        <v>465.27721056000001</v>
      </c>
      <c r="H35" s="21" t="s">
        <v>33</v>
      </c>
      <c r="I35" s="8"/>
    </row>
    <row r="36" spans="1:9" ht="15.75" customHeight="1" x14ac:dyDescent="0.3">
      <c r="A36" s="75" t="s">
        <v>111</v>
      </c>
      <c r="B36" s="17" t="s">
        <v>33</v>
      </c>
      <c r="C36" s="76">
        <f>Assumptions!B23*Assumptions!B30*Assumptions!B31</f>
        <v>450</v>
      </c>
      <c r="D36" s="76">
        <f>Assumptions!B24*Assumptions!B30*Assumptions!B31</f>
        <v>450</v>
      </c>
      <c r="E36" s="76">
        <f>Assumptions!B25*Assumptions!B30*Assumptions!B31</f>
        <v>450</v>
      </c>
      <c r="F36" s="76">
        <f>Assumptions!B26*Assumptions!B30*Assumptions!B31</f>
        <v>0</v>
      </c>
      <c r="G36" s="76">
        <f>Assumptions!B27*Assumptions!B30*Assumptions!B31</f>
        <v>0</v>
      </c>
      <c r="H36" s="17" t="s">
        <v>33</v>
      </c>
      <c r="I36" s="6"/>
    </row>
    <row r="37" spans="1:9" ht="16.5" customHeight="1" x14ac:dyDescent="0.3">
      <c r="A37" s="84" t="s">
        <v>112</v>
      </c>
      <c r="B37" s="85">
        <f>Assumptions!B10</f>
        <v>19800</v>
      </c>
      <c r="C37" s="86">
        <f>C11</f>
        <v>20844</v>
      </c>
      <c r="D37" s="86">
        <f>D11</f>
        <v>21919.32</v>
      </c>
      <c r="E37" s="86">
        <f>E11</f>
        <v>22807.706399999999</v>
      </c>
      <c r="F37" s="86">
        <f>F11</f>
        <v>23263.860528000001</v>
      </c>
      <c r="G37" s="86">
        <f>G11</f>
        <v>23729.137738560003</v>
      </c>
      <c r="H37" s="87">
        <f>(G11/Assumptions!B10)^(1/5)-1</f>
        <v>3.6867718245359837E-2</v>
      </c>
      <c r="I37" s="42"/>
    </row>
    <row r="38" spans="1:9" ht="6.75" customHeight="1" x14ac:dyDescent="0.3">
      <c r="A38" s="6"/>
      <c r="B38" s="6"/>
      <c r="C38" s="6"/>
      <c r="D38" s="6"/>
      <c r="E38" s="6"/>
      <c r="F38" s="6"/>
      <c r="G38" s="6"/>
      <c r="H38" s="6"/>
      <c r="I38" s="6"/>
    </row>
    <row r="39" spans="1:9" ht="16.5" customHeight="1" x14ac:dyDescent="0.3">
      <c r="A39" s="88" t="s">
        <v>114</v>
      </c>
      <c r="B39" s="88"/>
      <c r="C39" s="88"/>
      <c r="D39" s="88"/>
      <c r="E39" s="88"/>
      <c r="F39" s="88"/>
      <c r="G39" s="88"/>
      <c r="H39" s="88"/>
      <c r="I39" s="88"/>
    </row>
    <row r="40" spans="1:9" ht="15" customHeight="1" x14ac:dyDescent="0.3">
      <c r="A40" s="73" t="s">
        <v>108</v>
      </c>
      <c r="B40" s="74" t="s">
        <v>93</v>
      </c>
      <c r="C40" s="74" t="s">
        <v>40</v>
      </c>
      <c r="D40" s="74" t="s">
        <v>42</v>
      </c>
      <c r="E40" s="74" t="s">
        <v>44</v>
      </c>
      <c r="F40" s="74" t="s">
        <v>46</v>
      </c>
      <c r="G40" s="74" t="s">
        <v>48</v>
      </c>
      <c r="H40" s="33"/>
      <c r="I40" s="33"/>
    </row>
    <row r="41" spans="1:9" ht="15.75" customHeight="1" x14ac:dyDescent="0.3">
      <c r="A41" s="75" t="s">
        <v>109</v>
      </c>
      <c r="B41" s="17" t="s">
        <v>33</v>
      </c>
      <c r="C41" s="76">
        <f>Assumptions!B10</f>
        <v>19800</v>
      </c>
      <c r="D41" s="76">
        <f>C13</f>
        <v>31020</v>
      </c>
      <c r="E41" s="76">
        <f>D13</f>
        <v>43302.6</v>
      </c>
      <c r="F41" s="76">
        <f>E13</f>
        <v>55098.912000000004</v>
      </c>
      <c r="G41" s="76">
        <f>F13</f>
        <v>66109.792320000008</v>
      </c>
      <c r="H41" s="17" t="s">
        <v>33</v>
      </c>
      <c r="I41" s="6"/>
    </row>
    <row r="42" spans="1:9" ht="15.75" customHeight="1" x14ac:dyDescent="0.3">
      <c r="A42" s="77" t="s">
        <v>110</v>
      </c>
      <c r="B42" s="21" t="s">
        <v>33</v>
      </c>
      <c r="C42" s="78">
        <f>Assumptions!B10*Assumptions!D15</f>
        <v>2970</v>
      </c>
      <c r="D42" s="78">
        <f>C13*Assumptions!D16</f>
        <v>4032.6000000000004</v>
      </c>
      <c r="E42" s="78">
        <f>D13*Assumptions!D17</f>
        <v>5196.3119999999999</v>
      </c>
      <c r="F42" s="78">
        <f>E13*Assumptions!D18</f>
        <v>6060.8803200000002</v>
      </c>
      <c r="G42" s="78">
        <f>F13*Assumptions!D19</f>
        <v>6610.9792320000015</v>
      </c>
      <c r="H42" s="21" t="s">
        <v>33</v>
      </c>
      <c r="I42" s="8"/>
    </row>
    <row r="43" spans="1:9" ht="15.75" customHeight="1" x14ac:dyDescent="0.3">
      <c r="A43" s="75" t="s">
        <v>111</v>
      </c>
      <c r="B43" s="17" t="s">
        <v>33</v>
      </c>
      <c r="C43" s="76">
        <f>Assumptions!D23*Assumptions!D30*Assumptions!D31</f>
        <v>8250</v>
      </c>
      <c r="D43" s="76">
        <f>Assumptions!D24*Assumptions!D30*Assumptions!D31</f>
        <v>8250</v>
      </c>
      <c r="E43" s="76">
        <f>Assumptions!D25*Assumptions!D30*Assumptions!D31</f>
        <v>6600</v>
      </c>
      <c r="F43" s="76">
        <f>Assumptions!D26*Assumptions!D30*Assumptions!D31</f>
        <v>4950</v>
      </c>
      <c r="G43" s="76">
        <f>Assumptions!D27*Assumptions!D30*Assumptions!D31</f>
        <v>4950</v>
      </c>
      <c r="H43" s="17" t="s">
        <v>33</v>
      </c>
      <c r="I43" s="6"/>
    </row>
    <row r="44" spans="1:9" ht="16.5" customHeight="1" x14ac:dyDescent="0.3">
      <c r="A44" s="89" t="s">
        <v>112</v>
      </c>
      <c r="B44" s="90">
        <f>Assumptions!B10</f>
        <v>19800</v>
      </c>
      <c r="C44" s="91">
        <f>C13</f>
        <v>31020</v>
      </c>
      <c r="D44" s="91">
        <f>D13</f>
        <v>43302.6</v>
      </c>
      <c r="E44" s="91">
        <f>E13</f>
        <v>55098.912000000004</v>
      </c>
      <c r="F44" s="91">
        <f>F13</f>
        <v>66109.792320000008</v>
      </c>
      <c r="G44" s="91">
        <f>G13</f>
        <v>77670.77155200002</v>
      </c>
      <c r="H44" s="92">
        <f>(G13/Assumptions!B10)^(1/5)-1</f>
        <v>0.31437256604977204</v>
      </c>
      <c r="I44" s="52"/>
    </row>
    <row r="45" spans="1:9" ht="6.75" customHeight="1" x14ac:dyDescent="0.3">
      <c r="A45" s="6"/>
      <c r="B45" s="6"/>
      <c r="C45" s="6"/>
      <c r="D45" s="6"/>
      <c r="E45" s="6"/>
      <c r="F45" s="6"/>
      <c r="G45" s="6"/>
      <c r="H45" s="6"/>
      <c r="I45" s="6"/>
    </row>
    <row r="46" spans="1:9" ht="27.75" customHeight="1" x14ac:dyDescent="0.3">
      <c r="A46" s="34" t="s">
        <v>115</v>
      </c>
    </row>
  </sheetData>
  <sheetProtection algorithmName="SHA-512" hashValue="7PZGzLLSqGD625H1Gjg3/XFX4EkUErL9TjCwV+uh8Jw3uB0lLCE3XgSdsImvNRp0rgihSwt5LH+IUYV3L5MYHQ==" saltValue="6QxQfk9O3vg+Qnes//GkkQ==" spinCount="100000" sheet="1" objects="1" scenarios="1"/>
  <mergeCells count="1">
    <mergeCell ref="A5:H5"/>
  </mergeCell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5298"/>
  </sheetPr>
  <dimension ref="A1:H32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21.88671875" customWidth="1"/>
    <col min="2" max="4" width="16" customWidth="1"/>
    <col min="5" max="6" width="18" customWidth="1"/>
    <col min="7" max="7" width="12" customWidth="1"/>
    <col min="8" max="8" width="18" customWidth="1"/>
  </cols>
  <sheetData>
    <row r="1" spans="1:8" ht="31.5" customHeight="1" x14ac:dyDescent="0.3">
      <c r="A1" s="10" t="s">
        <v>116</v>
      </c>
    </row>
    <row r="2" spans="1:8" ht="18" customHeight="1" x14ac:dyDescent="0.3">
      <c r="A2" s="11" t="s">
        <v>1</v>
      </c>
    </row>
    <row r="3" spans="1:8" ht="13.5" customHeight="1" x14ac:dyDescent="0.3">
      <c r="A3" s="12" t="s">
        <v>117</v>
      </c>
    </row>
    <row r="4" spans="1:8" s="143" customFormat="1" ht="13.5" customHeight="1" x14ac:dyDescent="0.3">
      <c r="A4" s="12"/>
    </row>
    <row r="5" spans="1:8" s="143" customFormat="1" ht="13.5" customHeight="1" x14ac:dyDescent="0.3">
      <c r="A5" s="160" t="s">
        <v>205</v>
      </c>
      <c r="B5" s="160"/>
      <c r="C5" s="160"/>
      <c r="D5" s="160"/>
      <c r="E5" s="160"/>
      <c r="F5" s="160"/>
      <c r="G5" s="160"/>
      <c r="H5" s="160"/>
    </row>
    <row r="7" spans="1:8" ht="13.5" customHeight="1" x14ac:dyDescent="0.3">
      <c r="A7" s="33"/>
      <c r="B7" s="93" t="s">
        <v>118</v>
      </c>
      <c r="C7" s="33"/>
      <c r="D7" s="94" t="s">
        <v>119</v>
      </c>
      <c r="E7" s="33"/>
      <c r="F7" s="95" t="s">
        <v>120</v>
      </c>
      <c r="G7" s="33"/>
      <c r="H7" s="33"/>
    </row>
    <row r="8" spans="1:8" ht="27.75" customHeight="1" x14ac:dyDescent="0.3">
      <c r="A8" s="33"/>
      <c r="B8" s="96">
        <f>'Revenue Forecast'!C11</f>
        <v>20844</v>
      </c>
      <c r="C8" s="33"/>
      <c r="D8" s="97">
        <f>'Revenue Forecast'!C12</f>
        <v>26460</v>
      </c>
      <c r="E8" s="33"/>
      <c r="F8" s="98">
        <f>'Revenue Forecast'!C13</f>
        <v>31020</v>
      </c>
      <c r="G8" s="33"/>
      <c r="H8" s="99" t="s">
        <v>40</v>
      </c>
    </row>
    <row r="9" spans="1:8" ht="6.75" customHeight="1" x14ac:dyDescent="0.3">
      <c r="A9" s="6"/>
      <c r="B9" s="6"/>
      <c r="C9" s="6"/>
      <c r="D9" s="6"/>
      <c r="E9" s="6"/>
      <c r="F9" s="6"/>
      <c r="G9" s="6"/>
      <c r="H9" s="6"/>
    </row>
    <row r="10" spans="1:8" ht="25.5" customHeight="1" x14ac:dyDescent="0.3">
      <c r="A10" s="100" t="s">
        <v>62</v>
      </c>
      <c r="B10" s="100" t="s">
        <v>121</v>
      </c>
      <c r="C10" s="100" t="s">
        <v>122</v>
      </c>
      <c r="D10" s="100" t="s">
        <v>123</v>
      </c>
      <c r="E10" s="100" t="s">
        <v>124</v>
      </c>
      <c r="F10" s="100" t="s">
        <v>125</v>
      </c>
      <c r="G10" s="100" t="s">
        <v>126</v>
      </c>
      <c r="H10" s="100" t="s">
        <v>127</v>
      </c>
    </row>
    <row r="11" spans="1:8" ht="16.5" customHeight="1" x14ac:dyDescent="0.3">
      <c r="A11" s="101" t="s">
        <v>65</v>
      </c>
      <c r="B11" s="102">
        <f>'Revenue Forecast'!C11*Assumptions!B35/12</f>
        <v>1250.6400000000001</v>
      </c>
      <c r="C11" s="103">
        <f>'Revenue Forecast'!C12*Assumptions!B35/12</f>
        <v>1587.6000000000001</v>
      </c>
      <c r="D11" s="104">
        <f>'Revenue Forecast'!C13*Assumptions!B35/12</f>
        <v>1861.1999999999998</v>
      </c>
      <c r="E11" s="105">
        <v>1620</v>
      </c>
      <c r="F11" s="106">
        <f t="shared" ref="F11:F22" si="0">IF(ISBLANK(E11),"—",E11-C11)</f>
        <v>32.399999999999864</v>
      </c>
      <c r="G11" s="107">
        <f t="shared" ref="G11:G22" si="1">IF(ISBLANK(E11),"—",IF(C11=0,"N/A",(E11-C11)/C11))</f>
        <v>2.0408163265306034E-2</v>
      </c>
      <c r="H11" s="108" t="s">
        <v>128</v>
      </c>
    </row>
    <row r="12" spans="1:8" ht="16.5" customHeight="1" x14ac:dyDescent="0.3">
      <c r="A12" s="109" t="s">
        <v>67</v>
      </c>
      <c r="B12" s="110">
        <f>'Revenue Forecast'!C11*Assumptions!B36/12</f>
        <v>1354.86</v>
      </c>
      <c r="C12" s="111">
        <f>'Revenue Forecast'!C12*Assumptions!B36/12</f>
        <v>1719.8999999999999</v>
      </c>
      <c r="D12" s="112">
        <f>'Revenue Forecast'!C13*Assumptions!B36/12</f>
        <v>2016.3000000000002</v>
      </c>
      <c r="E12" s="105">
        <v>1695</v>
      </c>
      <c r="F12" s="113">
        <f t="shared" si="0"/>
        <v>-24.899999999999864</v>
      </c>
      <c r="G12" s="114">
        <f t="shared" si="1"/>
        <v>-1.4477585906157256E-2</v>
      </c>
      <c r="H12" s="115" t="s">
        <v>129</v>
      </c>
    </row>
    <row r="13" spans="1:8" ht="16.5" customHeight="1" x14ac:dyDescent="0.3">
      <c r="A13" s="101" t="s">
        <v>69</v>
      </c>
      <c r="B13" s="102">
        <f>'Revenue Forecast'!C11*Assumptions!B37/12</f>
        <v>1563.3000000000002</v>
      </c>
      <c r="C13" s="103">
        <f>'Revenue Forecast'!C12*Assumptions!B37/12</f>
        <v>1984.5</v>
      </c>
      <c r="D13" s="104">
        <f>'Revenue Forecast'!C13*Assumptions!B37/12</f>
        <v>2326.5</v>
      </c>
      <c r="E13" s="105">
        <v>2050</v>
      </c>
      <c r="F13" s="106">
        <f t="shared" si="0"/>
        <v>65.5</v>
      </c>
      <c r="G13" s="107">
        <f t="shared" si="1"/>
        <v>3.3005794910556815E-2</v>
      </c>
      <c r="H13" s="108" t="s">
        <v>130</v>
      </c>
    </row>
    <row r="14" spans="1:8" ht="16.5" customHeight="1" x14ac:dyDescent="0.3">
      <c r="A14" s="109" t="s">
        <v>71</v>
      </c>
      <c r="B14" s="110">
        <f>'Revenue Forecast'!C11*Assumptions!B38/12</f>
        <v>1598.04</v>
      </c>
      <c r="C14" s="111">
        <f>'Revenue Forecast'!C12*Assumptions!B38/12</f>
        <v>2028.6000000000001</v>
      </c>
      <c r="D14" s="112">
        <f>'Revenue Forecast'!C13*Assumptions!B38/12</f>
        <v>2378.2000000000003</v>
      </c>
      <c r="E14" s="105">
        <v>2010</v>
      </c>
      <c r="F14" s="113">
        <f t="shared" si="0"/>
        <v>-18.600000000000136</v>
      </c>
      <c r="G14" s="114">
        <f t="shared" si="1"/>
        <v>-9.168884945282528E-3</v>
      </c>
      <c r="H14" s="115" t="s">
        <v>131</v>
      </c>
    </row>
    <row r="15" spans="1:8" ht="16.5" customHeight="1" x14ac:dyDescent="0.3">
      <c r="A15" s="101" t="s">
        <v>73</v>
      </c>
      <c r="B15" s="102">
        <f>'Revenue Forecast'!C11*Assumptions!B39/12</f>
        <v>1650.1499999999999</v>
      </c>
      <c r="C15" s="103">
        <f>'Revenue Forecast'!C12*Assumptions!B39/12</f>
        <v>2094.75</v>
      </c>
      <c r="D15" s="104">
        <f>'Revenue Forecast'!C13*Assumptions!B39/12</f>
        <v>2455.75</v>
      </c>
      <c r="E15" s="105"/>
      <c r="F15" s="106" t="str">
        <f t="shared" si="0"/>
        <v>—</v>
      </c>
      <c r="G15" s="107" t="str">
        <f t="shared" si="1"/>
        <v>—</v>
      </c>
      <c r="H15" s="108" t="s">
        <v>132</v>
      </c>
    </row>
    <row r="16" spans="1:8" ht="16.5" customHeight="1" x14ac:dyDescent="0.3">
      <c r="A16" s="109" t="s">
        <v>75</v>
      </c>
      <c r="B16" s="110">
        <f>'Revenue Forecast'!C11*Assumptions!B40/12</f>
        <v>1598.04</v>
      </c>
      <c r="C16" s="111">
        <f>'Revenue Forecast'!C12*Assumptions!B40/12</f>
        <v>2028.6000000000001</v>
      </c>
      <c r="D16" s="112">
        <f>'Revenue Forecast'!C13*Assumptions!B40/12</f>
        <v>2378.2000000000003</v>
      </c>
      <c r="E16" s="105"/>
      <c r="F16" s="113" t="str">
        <f t="shared" si="0"/>
        <v>—</v>
      </c>
      <c r="G16" s="114" t="str">
        <f t="shared" si="1"/>
        <v>—</v>
      </c>
      <c r="H16" s="115" t="s">
        <v>131</v>
      </c>
    </row>
    <row r="17" spans="1:8" ht="16.5" customHeight="1" x14ac:dyDescent="0.3">
      <c r="A17" s="101" t="s">
        <v>77</v>
      </c>
      <c r="B17" s="102">
        <f>'Revenue Forecast'!C11*Assumptions!B41/12</f>
        <v>1545.93</v>
      </c>
      <c r="C17" s="103">
        <f>'Revenue Forecast'!C12*Assumptions!B41/12</f>
        <v>1962.45</v>
      </c>
      <c r="D17" s="104">
        <f>'Revenue Forecast'!C13*Assumptions!B41/12</f>
        <v>2300.65</v>
      </c>
      <c r="E17" s="105"/>
      <c r="F17" s="106" t="str">
        <f t="shared" si="0"/>
        <v>—</v>
      </c>
      <c r="G17" s="107" t="str">
        <f t="shared" si="1"/>
        <v>—</v>
      </c>
      <c r="H17" s="108" t="s">
        <v>133</v>
      </c>
    </row>
    <row r="18" spans="1:8" ht="16.5" customHeight="1" x14ac:dyDescent="0.3">
      <c r="A18" s="109" t="s">
        <v>79</v>
      </c>
      <c r="B18" s="110">
        <f>'Revenue Forecast'!C11*Assumptions!B42/12</f>
        <v>1580.67</v>
      </c>
      <c r="C18" s="111">
        <f>'Revenue Forecast'!C12*Assumptions!B42/12</f>
        <v>2006.5500000000002</v>
      </c>
      <c r="D18" s="112">
        <f>'Revenue Forecast'!C13*Assumptions!B42/12</f>
        <v>2352.35</v>
      </c>
      <c r="E18" s="105"/>
      <c r="F18" s="113" t="str">
        <f t="shared" si="0"/>
        <v>—</v>
      </c>
      <c r="G18" s="114" t="str">
        <f t="shared" si="1"/>
        <v>—</v>
      </c>
      <c r="H18" s="115" t="s">
        <v>134</v>
      </c>
    </row>
    <row r="19" spans="1:8" ht="16.5" customHeight="1" x14ac:dyDescent="0.3">
      <c r="A19" s="101" t="s">
        <v>81</v>
      </c>
      <c r="B19" s="102">
        <f>'Revenue Forecast'!C11*Assumptions!B43/12</f>
        <v>1650.1499999999999</v>
      </c>
      <c r="C19" s="103">
        <f>'Revenue Forecast'!C12*Assumptions!B43/12</f>
        <v>2094.75</v>
      </c>
      <c r="D19" s="104">
        <f>'Revenue Forecast'!C13*Assumptions!B43/12</f>
        <v>2455.75</v>
      </c>
      <c r="E19" s="105"/>
      <c r="F19" s="106" t="str">
        <f t="shared" si="0"/>
        <v>—</v>
      </c>
      <c r="G19" s="107" t="str">
        <f t="shared" si="1"/>
        <v>—</v>
      </c>
      <c r="H19" s="108" t="s">
        <v>132</v>
      </c>
    </row>
    <row r="20" spans="1:8" ht="16.5" customHeight="1" x14ac:dyDescent="0.3">
      <c r="A20" s="109" t="s">
        <v>83</v>
      </c>
      <c r="B20" s="110">
        <f>'Revenue Forecast'!C11*Assumptions!B44/12</f>
        <v>1875.96</v>
      </c>
      <c r="C20" s="111">
        <f>'Revenue Forecast'!C12*Assumptions!B44/12</f>
        <v>2381.4</v>
      </c>
      <c r="D20" s="112">
        <f>'Revenue Forecast'!C13*Assumptions!B44/12</f>
        <v>2791.8000000000006</v>
      </c>
      <c r="E20" s="105"/>
      <c r="F20" s="113" t="str">
        <f t="shared" si="0"/>
        <v>—</v>
      </c>
      <c r="G20" s="114" t="str">
        <f t="shared" si="1"/>
        <v>—</v>
      </c>
      <c r="H20" s="115" t="s">
        <v>135</v>
      </c>
    </row>
    <row r="21" spans="1:8" ht="16.5" customHeight="1" x14ac:dyDescent="0.3">
      <c r="A21" s="101" t="s">
        <v>85</v>
      </c>
      <c r="B21" s="102">
        <f>'Revenue Forecast'!C11*Assumptions!B45/12</f>
        <v>2397.06</v>
      </c>
      <c r="C21" s="103">
        <f>'Revenue Forecast'!C12*Assumptions!B45/12</f>
        <v>3042.8999999999996</v>
      </c>
      <c r="D21" s="104">
        <f>'Revenue Forecast'!C13*Assumptions!B45/12</f>
        <v>3567.2999999999997</v>
      </c>
      <c r="E21" s="105"/>
      <c r="F21" s="106" t="str">
        <f t="shared" si="0"/>
        <v>—</v>
      </c>
      <c r="G21" s="107" t="str">
        <f t="shared" si="1"/>
        <v>—</v>
      </c>
      <c r="H21" s="108" t="s">
        <v>136</v>
      </c>
    </row>
    <row r="22" spans="1:8" ht="16.5" customHeight="1" x14ac:dyDescent="0.3">
      <c r="A22" s="109" t="s">
        <v>87</v>
      </c>
      <c r="B22" s="110">
        <f>'Revenue Forecast'!C11*Assumptions!B46/12</f>
        <v>2779.2000000000003</v>
      </c>
      <c r="C22" s="111">
        <f>'Revenue Forecast'!C12*Assumptions!B46/12</f>
        <v>3528</v>
      </c>
      <c r="D22" s="112">
        <f>'Revenue Forecast'!C13*Assumptions!B46/12</f>
        <v>4136</v>
      </c>
      <c r="E22" s="105"/>
      <c r="F22" s="113" t="str">
        <f t="shared" si="0"/>
        <v>—</v>
      </c>
      <c r="G22" s="114" t="str">
        <f t="shared" si="1"/>
        <v>—</v>
      </c>
      <c r="H22" s="115" t="s">
        <v>137</v>
      </c>
    </row>
    <row r="23" spans="1:8" ht="18" customHeight="1" x14ac:dyDescent="0.3">
      <c r="A23" s="116" t="s">
        <v>138</v>
      </c>
      <c r="B23" s="117">
        <f>'Revenue Forecast'!C11</f>
        <v>20844</v>
      </c>
      <c r="C23" s="117">
        <f>'Revenue Forecast'!C12</f>
        <v>26460</v>
      </c>
      <c r="D23" s="117">
        <f>'Revenue Forecast'!C13</f>
        <v>31020</v>
      </c>
      <c r="E23" s="118">
        <f>IF(COUNT(E11:E22)=0,"—",SUM(E11:E22))</f>
        <v>7375</v>
      </c>
      <c r="F23" s="117">
        <f>IF(COUNT(E11:E22)=0,"—",SUM(E11:E22)-SUMIF(E11:E22,"&lt;&gt;",C11:C22))</f>
        <v>54.399999999999636</v>
      </c>
      <c r="G23" s="119"/>
      <c r="H23" s="119"/>
    </row>
    <row r="24" spans="1:8" ht="6.75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15" customHeight="1" x14ac:dyDescent="0.3">
      <c r="A25" s="14" t="s">
        <v>139</v>
      </c>
      <c r="B25" s="14"/>
      <c r="C25" s="14"/>
      <c r="D25" s="14"/>
      <c r="E25" s="14"/>
      <c r="F25" s="14"/>
      <c r="G25" s="14"/>
      <c r="H25" s="14"/>
    </row>
    <row r="26" spans="1:8" ht="13.5" customHeight="1" x14ac:dyDescent="0.3">
      <c r="A26" s="36" t="s">
        <v>140</v>
      </c>
      <c r="B26" s="37" t="s">
        <v>141</v>
      </c>
      <c r="C26" s="33"/>
      <c r="D26" s="37" t="s">
        <v>140</v>
      </c>
      <c r="E26" s="37" t="s">
        <v>141</v>
      </c>
      <c r="F26" s="33"/>
      <c r="G26" s="33"/>
      <c r="H26" s="33"/>
    </row>
    <row r="27" spans="1:8" ht="15.75" customHeight="1" x14ac:dyDescent="0.3">
      <c r="A27" s="120" t="s">
        <v>142</v>
      </c>
      <c r="B27" s="121">
        <f>COUNT(E11:E22)</f>
        <v>4</v>
      </c>
      <c r="C27" s="6"/>
      <c r="D27" s="120" t="s">
        <v>143</v>
      </c>
      <c r="E27" s="122">
        <f>IF(COUNT(E11:E22)=0,"—",SUMIF(E11:E22,"&lt;&gt;",C11:C22))</f>
        <v>7320.6</v>
      </c>
      <c r="F27" s="6"/>
      <c r="G27" s="6"/>
      <c r="H27" s="6"/>
    </row>
    <row r="28" spans="1:8" ht="15.75" customHeight="1" x14ac:dyDescent="0.3">
      <c r="A28" s="123" t="s">
        <v>144</v>
      </c>
      <c r="B28" s="124">
        <f>IF(COUNT(E11:E22)=0,"—",SUM(E11:E22))</f>
        <v>7375</v>
      </c>
      <c r="C28" s="8"/>
      <c r="D28" s="123" t="s">
        <v>145</v>
      </c>
      <c r="E28" s="125">
        <f>IF(COUNT(E11:E22)=0,"—",SUM(E11:E22)-SUMIF(E11:E22,"&lt;&gt;",C11:C22))</f>
        <v>54.399999999999636</v>
      </c>
      <c r="F28" s="8"/>
      <c r="G28" s="8"/>
      <c r="H28" s="8"/>
    </row>
    <row r="29" spans="1:8" ht="27.6" customHeight="1" x14ac:dyDescent="0.3">
      <c r="A29" s="161" t="s">
        <v>146</v>
      </c>
      <c r="B29" s="161"/>
      <c r="C29" s="161"/>
      <c r="D29" s="161"/>
      <c r="E29" s="161"/>
      <c r="F29" s="161"/>
      <c r="G29" s="161"/>
      <c r="H29" s="161"/>
    </row>
    <row r="32" spans="1:8" ht="6.75" customHeight="1" x14ac:dyDescent="0.3">
      <c r="A32" s="6"/>
      <c r="B32" s="6"/>
      <c r="C32" s="6"/>
      <c r="D32" s="6"/>
      <c r="E32" s="6"/>
      <c r="F32" s="6"/>
      <c r="G32" s="6"/>
      <c r="H32" s="6"/>
    </row>
  </sheetData>
  <sheetProtection algorithmName="SHA-512" hashValue="an09ZVDvp3LI/zoj1xOZ5yVfc5UV3b0R0AGTZoFTJHS/8gosdunebmCaM8eIspeeAUbUkmZa2t2cuh/U3pF4wg==" saltValue="ApRqa2KrcD+xhJy7l7lRKQ==" spinCount="100000" sheet="1" objects="1" scenarios="1"/>
  <mergeCells count="2">
    <mergeCell ref="A5:H5"/>
    <mergeCell ref="A29:H29"/>
  </mergeCell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0000"/>
  </sheetPr>
  <dimension ref="A1:H26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28" customWidth="1"/>
    <col min="2" max="7" width="13" customWidth="1"/>
    <col min="8" max="8" width="18.44140625" customWidth="1"/>
  </cols>
  <sheetData>
    <row r="1" spans="1:8" ht="31.5" customHeight="1" x14ac:dyDescent="0.3">
      <c r="A1" s="10" t="s">
        <v>147</v>
      </c>
    </row>
    <row r="2" spans="1:8" ht="18" customHeight="1" x14ac:dyDescent="0.3">
      <c r="A2" s="11" t="s">
        <v>1</v>
      </c>
    </row>
    <row r="3" spans="1:8" ht="13.5" customHeight="1" x14ac:dyDescent="0.3">
      <c r="A3" s="12" t="s">
        <v>148</v>
      </c>
    </row>
    <row r="4" spans="1:8" s="143" customFormat="1" ht="13.5" customHeight="1" x14ac:dyDescent="0.3">
      <c r="A4" s="12"/>
    </row>
    <row r="5" spans="1:8" s="143" customFormat="1" ht="13.5" customHeight="1" x14ac:dyDescent="0.3">
      <c r="A5" s="160" t="s">
        <v>205</v>
      </c>
      <c r="B5" s="160"/>
      <c r="C5" s="160"/>
      <c r="D5" s="160"/>
      <c r="E5" s="160"/>
      <c r="F5" s="160"/>
      <c r="G5" s="160"/>
      <c r="H5" s="160"/>
    </row>
    <row r="7" spans="1:8" ht="15" customHeight="1" x14ac:dyDescent="0.3">
      <c r="A7" s="14" t="s">
        <v>149</v>
      </c>
      <c r="B7" s="14"/>
      <c r="C7" s="14"/>
      <c r="D7" s="14"/>
      <c r="E7" s="14"/>
      <c r="F7" s="14"/>
      <c r="G7" s="14"/>
    </row>
    <row r="8" spans="1:8" ht="13.5" customHeight="1" x14ac:dyDescent="0.3">
      <c r="A8" s="126" t="s">
        <v>150</v>
      </c>
      <c r="B8" s="127" t="s">
        <v>151</v>
      </c>
      <c r="C8" s="127" t="s">
        <v>152</v>
      </c>
      <c r="D8" s="127" t="s">
        <v>153</v>
      </c>
      <c r="E8" s="127" t="s">
        <v>154</v>
      </c>
      <c r="F8" s="127" t="s">
        <v>155</v>
      </c>
      <c r="G8" s="127" t="s">
        <v>156</v>
      </c>
    </row>
    <row r="9" spans="1:8" ht="15.75" customHeight="1" x14ac:dyDescent="0.3">
      <c r="A9" s="128" t="s">
        <v>157</v>
      </c>
      <c r="B9" s="129">
        <v>22950</v>
      </c>
      <c r="C9" s="129">
        <v>29170</v>
      </c>
      <c r="D9" s="129">
        <v>35380</v>
      </c>
      <c r="E9" s="129">
        <v>41590</v>
      </c>
      <c r="F9" s="129">
        <v>47800</v>
      </c>
      <c r="G9" s="129">
        <v>54010</v>
      </c>
    </row>
    <row r="10" spans="1:8" ht="15.75" customHeight="1" x14ac:dyDescent="0.3">
      <c r="A10" s="130" t="s">
        <v>158</v>
      </c>
      <c r="B10" s="131">
        <v>25270</v>
      </c>
      <c r="C10" s="131">
        <v>31740</v>
      </c>
      <c r="D10" s="131">
        <v>38200</v>
      </c>
      <c r="E10" s="131">
        <v>44670</v>
      </c>
      <c r="F10" s="131">
        <v>51130</v>
      </c>
      <c r="G10" s="131">
        <v>57600</v>
      </c>
    </row>
    <row r="11" spans="1:8" ht="15.75" customHeight="1" x14ac:dyDescent="0.3">
      <c r="A11" s="132" t="s">
        <v>159</v>
      </c>
      <c r="B11" s="133">
        <v>29090</v>
      </c>
      <c r="C11" s="133">
        <v>35960</v>
      </c>
      <c r="D11" s="134">
        <v>42820</v>
      </c>
      <c r="E11" s="133">
        <v>49680</v>
      </c>
      <c r="F11" s="133">
        <v>56550</v>
      </c>
      <c r="G11" s="133">
        <v>63410</v>
      </c>
    </row>
    <row r="12" spans="1:8" ht="15.75" customHeight="1" x14ac:dyDescent="0.3">
      <c r="A12" s="130" t="s">
        <v>160</v>
      </c>
      <c r="B12" s="131">
        <v>31890</v>
      </c>
      <c r="C12" s="131">
        <v>39030</v>
      </c>
      <c r="D12" s="131">
        <v>46170</v>
      </c>
      <c r="E12" s="131">
        <v>53320</v>
      </c>
      <c r="F12" s="131">
        <v>60460</v>
      </c>
      <c r="G12" s="131">
        <v>67600</v>
      </c>
    </row>
    <row r="13" spans="1:8" ht="15.75" customHeight="1" x14ac:dyDescent="0.3">
      <c r="A13" s="128" t="s">
        <v>161</v>
      </c>
      <c r="B13" s="129">
        <v>34890</v>
      </c>
      <c r="C13" s="129">
        <v>42330</v>
      </c>
      <c r="D13" s="129">
        <v>49760</v>
      </c>
      <c r="E13" s="129">
        <v>57190</v>
      </c>
      <c r="F13" s="129">
        <v>64630</v>
      </c>
      <c r="G13" s="129">
        <v>72060</v>
      </c>
    </row>
    <row r="14" spans="1:8" ht="15.75" customHeight="1" x14ac:dyDescent="0.3">
      <c r="A14" s="130" t="s">
        <v>162</v>
      </c>
      <c r="B14" s="131">
        <v>39820</v>
      </c>
      <c r="C14" s="131">
        <v>47710</v>
      </c>
      <c r="D14" s="131">
        <v>55600</v>
      </c>
      <c r="E14" s="131">
        <v>63490</v>
      </c>
      <c r="F14" s="131">
        <v>71380</v>
      </c>
      <c r="G14" s="131">
        <v>79270</v>
      </c>
    </row>
    <row r="15" spans="1:8" ht="13.5" customHeight="1" x14ac:dyDescent="0.3">
      <c r="A15" s="135" t="s">
        <v>163</v>
      </c>
    </row>
    <row r="16" spans="1:8" ht="6.75" customHeight="1" x14ac:dyDescent="0.3">
      <c r="A16" s="6"/>
      <c r="B16" s="6"/>
      <c r="C16" s="6"/>
      <c r="D16" s="6"/>
      <c r="E16" s="6"/>
      <c r="F16" s="6"/>
      <c r="G16" s="6"/>
    </row>
    <row r="17" spans="1:7" ht="15" customHeight="1" x14ac:dyDescent="0.3">
      <c r="A17" s="14" t="s">
        <v>164</v>
      </c>
      <c r="B17" s="14"/>
      <c r="C17" s="14"/>
      <c r="D17" s="14"/>
      <c r="E17" s="14"/>
      <c r="F17" s="14"/>
      <c r="G17" s="14"/>
    </row>
    <row r="18" spans="1:7" ht="13.5" customHeight="1" x14ac:dyDescent="0.3">
      <c r="A18" s="126" t="s">
        <v>150</v>
      </c>
      <c r="B18" s="127" t="s">
        <v>165</v>
      </c>
      <c r="C18" s="127" t="s">
        <v>166</v>
      </c>
      <c r="D18" s="127" t="s">
        <v>167</v>
      </c>
      <c r="E18" s="127" t="s">
        <v>168</v>
      </c>
      <c r="F18" s="127" t="s">
        <v>169</v>
      </c>
      <c r="G18" s="127" t="s">
        <v>170</v>
      </c>
    </row>
    <row r="19" spans="1:7" ht="15.75" customHeight="1" x14ac:dyDescent="0.3">
      <c r="A19" s="128" t="s">
        <v>171</v>
      </c>
      <c r="B19" s="129">
        <v>31380</v>
      </c>
      <c r="C19" s="129">
        <v>32520</v>
      </c>
      <c r="D19" s="129">
        <v>33670</v>
      </c>
      <c r="E19" s="129">
        <v>34810</v>
      </c>
      <c r="F19" s="129">
        <v>35960</v>
      </c>
      <c r="G19" s="129">
        <v>37100</v>
      </c>
    </row>
    <row r="20" spans="1:7" ht="15.75" customHeight="1" x14ac:dyDescent="0.3">
      <c r="A20" s="132" t="s">
        <v>172</v>
      </c>
      <c r="B20" s="133">
        <v>33670</v>
      </c>
      <c r="C20" s="133">
        <v>35960</v>
      </c>
      <c r="D20" s="133">
        <v>38240</v>
      </c>
      <c r="E20" s="133">
        <v>40530</v>
      </c>
      <c r="F20" s="134">
        <v>42820</v>
      </c>
      <c r="G20" s="133">
        <v>45110</v>
      </c>
    </row>
    <row r="21" spans="1:7" ht="15.75" customHeight="1" x14ac:dyDescent="0.3">
      <c r="A21" s="128" t="s">
        <v>173</v>
      </c>
      <c r="B21" s="129">
        <v>35960</v>
      </c>
      <c r="C21" s="129">
        <v>39390</v>
      </c>
      <c r="D21" s="129">
        <v>42820</v>
      </c>
      <c r="E21" s="129">
        <v>46250</v>
      </c>
      <c r="F21" s="129">
        <v>49680</v>
      </c>
      <c r="G21" s="129">
        <v>53120</v>
      </c>
    </row>
    <row r="22" spans="1:7" ht="15.75" customHeight="1" x14ac:dyDescent="0.3">
      <c r="A22" s="130" t="s">
        <v>174</v>
      </c>
      <c r="B22" s="131">
        <v>38240</v>
      </c>
      <c r="C22" s="131">
        <v>42820</v>
      </c>
      <c r="D22" s="131">
        <v>47400</v>
      </c>
      <c r="E22" s="131">
        <v>51970</v>
      </c>
      <c r="F22" s="131">
        <v>56550</v>
      </c>
      <c r="G22" s="131">
        <v>61120</v>
      </c>
    </row>
    <row r="23" spans="1:7" ht="15.75" customHeight="1" x14ac:dyDescent="0.3">
      <c r="A23" s="128" t="s">
        <v>175</v>
      </c>
      <c r="B23" s="129">
        <v>40530</v>
      </c>
      <c r="C23" s="129">
        <v>46250</v>
      </c>
      <c r="D23" s="129">
        <v>51970</v>
      </c>
      <c r="E23" s="129">
        <v>57690</v>
      </c>
      <c r="F23" s="129">
        <v>63410</v>
      </c>
      <c r="G23" s="129">
        <v>69130</v>
      </c>
    </row>
    <row r="24" spans="1:7" ht="13.5" customHeight="1" x14ac:dyDescent="0.3">
      <c r="A24" s="135" t="s">
        <v>176</v>
      </c>
    </row>
    <row r="25" spans="1:7" ht="6.75" customHeight="1" x14ac:dyDescent="0.3">
      <c r="A25" s="6"/>
      <c r="B25" s="6"/>
      <c r="C25" s="6"/>
      <c r="D25" s="6"/>
      <c r="E25" s="6"/>
      <c r="F25" s="6"/>
      <c r="G25" s="6"/>
    </row>
    <row r="26" spans="1:7" ht="27.75" customHeight="1" x14ac:dyDescent="0.3">
      <c r="A26" s="159" t="s">
        <v>177</v>
      </c>
      <c r="B26" s="159"/>
      <c r="C26" s="159"/>
      <c r="D26" s="159"/>
      <c r="E26" s="159"/>
      <c r="F26" s="159"/>
      <c r="G26" s="159"/>
    </row>
  </sheetData>
  <sheetProtection algorithmName="SHA-512" hashValue="BKCp1AUi1RfHRrKdDarT+iJUr1gBZyLn/vNAzP2xXzMtXr546m+QRRrk88iowEbIZre41+WMdBz6hd9DQ4++cA==" saltValue="y4MexgZfGMDe/zP3hNR82w==" spinCount="100000" sheet="1" objects="1" scenarios="1"/>
  <mergeCells count="2">
    <mergeCell ref="A5:H5"/>
    <mergeCell ref="A26:G26"/>
  </mergeCells>
  <pageMargins left="0.5" right="0.5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5A32"/>
  </sheetPr>
  <dimension ref="A1:H35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27.109375" customWidth="1"/>
    <col min="2" max="2" width="14" customWidth="1"/>
    <col min="3" max="6" width="13" customWidth="1"/>
    <col min="7" max="7" width="12" customWidth="1"/>
    <col min="8" max="8" width="20.5546875" customWidth="1"/>
  </cols>
  <sheetData>
    <row r="1" spans="1:8" ht="31.5" customHeight="1" x14ac:dyDescent="0.3">
      <c r="A1" s="10" t="s">
        <v>178</v>
      </c>
    </row>
    <row r="2" spans="1:8" ht="18" customHeight="1" x14ac:dyDescent="0.3">
      <c r="A2" s="11" t="s">
        <v>1</v>
      </c>
    </row>
    <row r="3" spans="1:8" ht="13.5" customHeight="1" x14ac:dyDescent="0.3">
      <c r="A3" s="12" t="s">
        <v>179</v>
      </c>
    </row>
    <row r="4" spans="1:8" s="143" customFormat="1" ht="13.5" customHeight="1" x14ac:dyDescent="0.3">
      <c r="A4" s="12"/>
    </row>
    <row r="5" spans="1:8" x14ac:dyDescent="0.3">
      <c r="A5" s="160" t="s">
        <v>205</v>
      </c>
      <c r="B5" s="160"/>
      <c r="C5" s="160"/>
      <c r="D5" s="160"/>
      <c r="E5" s="160"/>
      <c r="F5" s="160"/>
      <c r="G5" s="160"/>
      <c r="H5" s="160"/>
    </row>
    <row r="7" spans="1:8" ht="24" customHeight="1" x14ac:dyDescent="0.3">
      <c r="A7" s="13" t="s">
        <v>180</v>
      </c>
      <c r="B7" s="13" t="s">
        <v>181</v>
      </c>
      <c r="C7" s="13" t="s">
        <v>182</v>
      </c>
      <c r="D7" s="13" t="s">
        <v>183</v>
      </c>
      <c r="E7" s="13" t="s">
        <v>184</v>
      </c>
      <c r="F7" s="13" t="s">
        <v>93</v>
      </c>
      <c r="G7" s="13" t="s">
        <v>185</v>
      </c>
    </row>
    <row r="8" spans="1:8" ht="6.75" customHeight="1" x14ac:dyDescent="0.3">
      <c r="A8" s="6"/>
      <c r="B8" s="6"/>
      <c r="C8" s="6"/>
      <c r="D8" s="6"/>
      <c r="E8" s="6"/>
      <c r="F8" s="6"/>
      <c r="G8" s="6"/>
    </row>
    <row r="9" spans="1:8" ht="16.5" customHeight="1" x14ac:dyDescent="0.3">
      <c r="A9" s="19" t="s">
        <v>186</v>
      </c>
      <c r="B9" s="21" t="s">
        <v>187</v>
      </c>
      <c r="C9" s="136">
        <v>1380</v>
      </c>
      <c r="D9" s="136">
        <v>1680</v>
      </c>
      <c r="E9" s="136">
        <v>2100</v>
      </c>
      <c r="F9" s="136">
        <v>2310</v>
      </c>
      <c r="G9" s="137">
        <f t="shared" ref="G9:G21" si="0">(F9/C9)^(1/3)-1</f>
        <v>0.18734692314024959</v>
      </c>
    </row>
    <row r="10" spans="1:8" ht="16.5" customHeight="1" x14ac:dyDescent="0.3">
      <c r="A10" s="15" t="s">
        <v>188</v>
      </c>
      <c r="B10" s="17" t="s">
        <v>187</v>
      </c>
      <c r="C10" s="16">
        <v>1560</v>
      </c>
      <c r="D10" s="16">
        <v>1890</v>
      </c>
      <c r="E10" s="16">
        <v>2400</v>
      </c>
      <c r="F10" s="16">
        <v>2640</v>
      </c>
      <c r="G10" s="138">
        <f t="shared" si="0"/>
        <v>0.1916803444819315</v>
      </c>
    </row>
    <row r="11" spans="1:8" ht="16.5" customHeight="1" x14ac:dyDescent="0.3">
      <c r="A11" s="19" t="s">
        <v>189</v>
      </c>
      <c r="B11" s="21" t="s">
        <v>190</v>
      </c>
      <c r="C11" s="136">
        <v>1140</v>
      </c>
      <c r="D11" s="136">
        <v>1440</v>
      </c>
      <c r="E11" s="136">
        <v>1920</v>
      </c>
      <c r="F11" s="136">
        <v>2100</v>
      </c>
      <c r="G11" s="137">
        <f t="shared" si="0"/>
        <v>0.22585230441425352</v>
      </c>
    </row>
    <row r="12" spans="1:8" ht="16.5" customHeight="1" x14ac:dyDescent="0.3">
      <c r="A12" s="15" t="s">
        <v>191</v>
      </c>
      <c r="B12" s="17" t="s">
        <v>190</v>
      </c>
      <c r="C12" s="16">
        <v>1080</v>
      </c>
      <c r="D12" s="16">
        <v>1350</v>
      </c>
      <c r="E12" s="16">
        <v>1800</v>
      </c>
      <c r="F12" s="16">
        <v>2010</v>
      </c>
      <c r="G12" s="138">
        <f t="shared" si="0"/>
        <v>0.23005378201635063</v>
      </c>
    </row>
    <row r="13" spans="1:8" ht="16.5" customHeight="1" x14ac:dyDescent="0.3">
      <c r="A13" s="19" t="s">
        <v>192</v>
      </c>
      <c r="B13" s="21" t="s">
        <v>190</v>
      </c>
      <c r="C13" s="136">
        <v>960</v>
      </c>
      <c r="D13" s="136">
        <v>1200</v>
      </c>
      <c r="E13" s="136">
        <v>1620</v>
      </c>
      <c r="F13" s="136">
        <v>1800</v>
      </c>
      <c r="G13" s="137">
        <f t="shared" si="0"/>
        <v>0.23310603716523493</v>
      </c>
    </row>
    <row r="14" spans="1:8" ht="16.5" customHeight="1" x14ac:dyDescent="0.3">
      <c r="A14" s="15" t="s">
        <v>193</v>
      </c>
      <c r="B14" s="17" t="s">
        <v>190</v>
      </c>
      <c r="C14" s="16">
        <v>900</v>
      </c>
      <c r="D14" s="16">
        <v>1140</v>
      </c>
      <c r="E14" s="16">
        <v>1500</v>
      </c>
      <c r="F14" s="16">
        <v>1680</v>
      </c>
      <c r="G14" s="138">
        <f t="shared" si="0"/>
        <v>0.23127650029855551</v>
      </c>
    </row>
    <row r="15" spans="1:8" ht="16.5" customHeight="1" x14ac:dyDescent="0.3">
      <c r="A15" s="19" t="s">
        <v>194</v>
      </c>
      <c r="B15" s="21" t="s">
        <v>190</v>
      </c>
      <c r="C15" s="136">
        <v>840</v>
      </c>
      <c r="D15" s="136">
        <v>1080</v>
      </c>
      <c r="E15" s="136">
        <v>1440</v>
      </c>
      <c r="F15" s="136">
        <v>1620</v>
      </c>
      <c r="G15" s="137">
        <f t="shared" si="0"/>
        <v>0.24473980004936524</v>
      </c>
    </row>
    <row r="16" spans="1:8" ht="16.5" customHeight="1" x14ac:dyDescent="0.3">
      <c r="A16" s="15" t="s">
        <v>195</v>
      </c>
      <c r="B16" s="17" t="s">
        <v>196</v>
      </c>
      <c r="C16" s="16">
        <v>780</v>
      </c>
      <c r="D16" s="16">
        <v>990</v>
      </c>
      <c r="E16" s="16">
        <v>1320</v>
      </c>
      <c r="F16" s="16">
        <v>1470</v>
      </c>
      <c r="G16" s="138">
        <f t="shared" si="0"/>
        <v>0.23521031776092904</v>
      </c>
    </row>
    <row r="17" spans="1:7" ht="16.5" customHeight="1" x14ac:dyDescent="0.3">
      <c r="A17" s="19" t="s">
        <v>197</v>
      </c>
      <c r="B17" s="21" t="s">
        <v>196</v>
      </c>
      <c r="C17" s="136">
        <v>720</v>
      </c>
      <c r="D17" s="136">
        <v>930</v>
      </c>
      <c r="E17" s="136">
        <v>1200</v>
      </c>
      <c r="F17" s="136">
        <v>1350</v>
      </c>
      <c r="G17" s="137">
        <f t="shared" si="0"/>
        <v>0.23310603716523493</v>
      </c>
    </row>
    <row r="18" spans="1:7" ht="16.5" customHeight="1" x14ac:dyDescent="0.3">
      <c r="A18" s="15" t="s">
        <v>198</v>
      </c>
      <c r="B18" s="17" t="s">
        <v>196</v>
      </c>
      <c r="C18" s="16">
        <v>660</v>
      </c>
      <c r="D18" s="16">
        <v>840</v>
      </c>
      <c r="E18" s="16">
        <v>1080</v>
      </c>
      <c r="F18" s="16">
        <v>1200</v>
      </c>
      <c r="G18" s="138">
        <f t="shared" si="0"/>
        <v>0.22052244447028491</v>
      </c>
    </row>
    <row r="19" spans="1:7" ht="16.5" customHeight="1" x14ac:dyDescent="0.3">
      <c r="A19" s="19" t="s">
        <v>199</v>
      </c>
      <c r="B19" s="21" t="s">
        <v>196</v>
      </c>
      <c r="C19" s="136">
        <v>600</v>
      </c>
      <c r="D19" s="136">
        <v>780</v>
      </c>
      <c r="E19" s="136">
        <v>960</v>
      </c>
      <c r="F19" s="136">
        <v>1080</v>
      </c>
      <c r="G19" s="137">
        <f t="shared" si="0"/>
        <v>0.21644039911467994</v>
      </c>
    </row>
    <row r="20" spans="1:7" ht="16.5" customHeight="1" x14ac:dyDescent="0.3">
      <c r="A20" s="15" t="s">
        <v>200</v>
      </c>
      <c r="B20" s="17" t="s">
        <v>196</v>
      </c>
      <c r="C20" s="16">
        <v>180</v>
      </c>
      <c r="D20" s="16">
        <v>270</v>
      </c>
      <c r="E20" s="16">
        <v>660</v>
      </c>
      <c r="F20" s="16">
        <v>540</v>
      </c>
      <c r="G20" s="138">
        <f t="shared" si="0"/>
        <v>0.4422495703074083</v>
      </c>
    </row>
    <row r="21" spans="1:7" ht="18" customHeight="1" x14ac:dyDescent="0.3">
      <c r="A21" s="139" t="s">
        <v>201</v>
      </c>
      <c r="B21" s="140"/>
      <c r="C21" s="141">
        <f>SUM(C9:C20)</f>
        <v>10800</v>
      </c>
      <c r="D21" s="141">
        <f>SUM(D9:D20)</f>
        <v>13590</v>
      </c>
      <c r="E21" s="141">
        <f>SUM(E9:E20)</f>
        <v>18000</v>
      </c>
      <c r="F21" s="141">
        <f>SUM(F9:F20)</f>
        <v>19800</v>
      </c>
      <c r="G21" s="142">
        <f t="shared" si="0"/>
        <v>0.22390341034166039</v>
      </c>
    </row>
    <row r="22" spans="1:7" ht="6.75" customHeight="1" x14ac:dyDescent="0.3">
      <c r="A22" s="6"/>
      <c r="B22" s="6"/>
      <c r="C22" s="6"/>
      <c r="D22" s="6"/>
      <c r="E22" s="6"/>
      <c r="F22" s="6"/>
      <c r="G22" s="6"/>
    </row>
    <row r="23" spans="1:7" ht="21" customHeight="1" x14ac:dyDescent="0.3">
      <c r="A23" s="159" t="s">
        <v>202</v>
      </c>
      <c r="B23" s="159"/>
      <c r="C23" s="159"/>
      <c r="D23" s="159"/>
      <c r="E23" s="159"/>
      <c r="F23" s="159"/>
      <c r="G23" s="159"/>
    </row>
    <row r="26" spans="1:7" x14ac:dyDescent="0.3">
      <c r="A26" s="165" t="s">
        <v>206</v>
      </c>
      <c r="B26" s="165"/>
      <c r="C26" s="165"/>
      <c r="D26" s="165"/>
      <c r="E26" s="165"/>
      <c r="F26" s="165"/>
    </row>
    <row r="27" spans="1:7" x14ac:dyDescent="0.3">
      <c r="A27" s="144"/>
      <c r="B27" s="144"/>
      <c r="C27" s="144"/>
      <c r="D27" s="144"/>
      <c r="E27" s="144"/>
      <c r="F27" s="144"/>
    </row>
    <row r="28" spans="1:7" x14ac:dyDescent="0.3">
      <c r="A28" s="145" t="s">
        <v>207</v>
      </c>
      <c r="B28" s="162" t="s">
        <v>208</v>
      </c>
      <c r="C28" s="162"/>
      <c r="D28" s="162"/>
      <c r="E28" s="162"/>
      <c r="F28" s="162"/>
    </row>
    <row r="29" spans="1:7" x14ac:dyDescent="0.3">
      <c r="A29" s="145" t="s">
        <v>209</v>
      </c>
      <c r="B29" s="163" t="s">
        <v>210</v>
      </c>
      <c r="C29" s="163"/>
      <c r="D29" s="163"/>
      <c r="E29" s="163"/>
      <c r="F29" s="163"/>
    </row>
    <row r="30" spans="1:7" ht="28.2" customHeight="1" x14ac:dyDescent="0.3">
      <c r="A30" s="145" t="s">
        <v>211</v>
      </c>
      <c r="B30" s="166" t="s">
        <v>219</v>
      </c>
      <c r="C30" s="166"/>
      <c r="D30" s="166"/>
      <c r="E30" s="166"/>
      <c r="F30" s="166"/>
    </row>
    <row r="31" spans="1:7" x14ac:dyDescent="0.3">
      <c r="A31" s="145" t="s">
        <v>212</v>
      </c>
      <c r="B31" s="163" t="s">
        <v>213</v>
      </c>
      <c r="C31" s="163"/>
      <c r="D31" s="163"/>
      <c r="E31" s="163"/>
      <c r="F31" s="163"/>
    </row>
    <row r="32" spans="1:7" x14ac:dyDescent="0.3">
      <c r="A32" s="145" t="s">
        <v>214</v>
      </c>
      <c r="B32" s="162" t="s">
        <v>215</v>
      </c>
      <c r="C32" s="162"/>
      <c r="D32" s="162"/>
      <c r="E32" s="162"/>
      <c r="F32" s="162"/>
    </row>
    <row r="33" spans="1:6" x14ac:dyDescent="0.3">
      <c r="A33" s="145" t="s">
        <v>216</v>
      </c>
      <c r="B33" s="163" t="s">
        <v>217</v>
      </c>
      <c r="C33" s="163"/>
      <c r="D33" s="163"/>
      <c r="E33" s="163"/>
      <c r="F33" s="163"/>
    </row>
    <row r="34" spans="1:6" x14ac:dyDescent="0.3">
      <c r="A34" s="144"/>
      <c r="B34" s="144"/>
      <c r="C34" s="144"/>
      <c r="D34" s="144"/>
      <c r="E34" s="144"/>
      <c r="F34" s="144"/>
    </row>
    <row r="35" spans="1:6" ht="27.6" customHeight="1" x14ac:dyDescent="0.3">
      <c r="A35" s="164" t="s">
        <v>218</v>
      </c>
      <c r="B35" s="164"/>
      <c r="C35" s="164"/>
      <c r="D35" s="164"/>
      <c r="E35" s="164"/>
      <c r="F35" s="164"/>
    </row>
  </sheetData>
  <sheetProtection algorithmName="SHA-512" hashValue="IOwcBLOB+9uPGvyEIRVcZYaujRmkTlTcum9BCSMobDCvtHkDrXn6tXaqW2114kWWymZiOCy7ImsDuRQNgJXKLA==" saltValue="Dn7jnJBroFTPwKM3G1JIxg==" spinCount="100000" sheet="1" objects="1" scenarios="1"/>
  <mergeCells count="10">
    <mergeCell ref="B32:F32"/>
    <mergeCell ref="B33:F33"/>
    <mergeCell ref="A35:F35"/>
    <mergeCell ref="A23:G23"/>
    <mergeCell ref="A5:H5"/>
    <mergeCell ref="A26:F26"/>
    <mergeCell ref="B28:F28"/>
    <mergeCell ref="B29:F29"/>
    <mergeCell ref="B30:F30"/>
    <mergeCell ref="B31:F31"/>
  </mergeCells>
  <pageMargins left="0.5" right="0.5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Revenue Forecast</vt:lpstr>
      <vt:lpstr>Monthly Dashboard</vt:lpstr>
      <vt:lpstr>Sensitivity Analysis</vt:lpstr>
      <vt:lpstr>Store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</cp:lastModifiedBy>
  <cp:revision>1</cp:revision>
  <dcterms:created xsi:type="dcterms:W3CDTF">2026-06-20T05:59:34Z</dcterms:created>
  <dcterms:modified xsi:type="dcterms:W3CDTF">2026-06-20T08:52:13Z</dcterms:modified>
  <dc:language>en-US</dc:language>
</cp:coreProperties>
</file>