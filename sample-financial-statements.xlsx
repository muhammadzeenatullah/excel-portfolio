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q9539\Pictures\QBO\Git Hub Pages\Excel Services\financial-statements\"/>
    </mc:Choice>
  </mc:AlternateContent>
  <xr:revisionPtr revIDLastSave="0" documentId="13_ncr:1_{F489ECA9-A912-40A8-A98A-53FB181A4F5D}" xr6:coauthVersionLast="47" xr6:coauthVersionMax="47" xr10:uidLastSave="{00000000-0000-0000-0000-000000000000}"/>
  <bookViews>
    <workbookView xWindow="-108" yWindow="-108" windowWidth="23256" windowHeight="12456" xr2:uid="{00000000-000D-0000-FFFF-FFFF00000000}"/>
  </bookViews>
  <sheets>
    <sheet name="Cover" sheetId="1" r:id="rId1"/>
    <sheet name="Assumptions" sheetId="2" r:id="rId2"/>
    <sheet name="Income Statement" sheetId="3" r:id="rId3"/>
    <sheet name="Balance Sheet" sheetId="4" r:id="rId4"/>
    <sheet name="Cash Flow" sheetId="5" r:id="rId5"/>
    <sheet name="Ratio Analysis" sheetId="6" r:id="rId6"/>
    <sheet name="Deliverables &amp; Contact"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0" i="4" l="1"/>
  <c r="B16" i="3"/>
  <c r="B15" i="5" s="1"/>
  <c r="F13" i="3"/>
  <c r="E13" i="3"/>
  <c r="D13" i="3"/>
  <c r="C13" i="3"/>
  <c r="B10" i="3"/>
  <c r="B9" i="3"/>
  <c r="F25" i="6"/>
  <c r="E25" i="6"/>
  <c r="D25" i="6"/>
  <c r="C25" i="6"/>
  <c r="B25" i="6"/>
  <c r="F24" i="6"/>
  <c r="E24" i="6"/>
  <c r="D24" i="6"/>
  <c r="C24" i="6"/>
  <c r="B24" i="6"/>
  <c r="F45" i="5"/>
  <c r="E45" i="5"/>
  <c r="D45" i="5"/>
  <c r="C45" i="5"/>
  <c r="B45" i="5"/>
  <c r="B39" i="5"/>
  <c r="F32" i="5"/>
  <c r="E32" i="5"/>
  <c r="D32" i="5"/>
  <c r="D34" i="5" s="1"/>
  <c r="C32" i="5"/>
  <c r="C34" i="5" s="1"/>
  <c r="B32" i="5"/>
  <c r="F31" i="5"/>
  <c r="F34" i="5" s="1"/>
  <c r="E31" i="5"/>
  <c r="E34" i="5" s="1"/>
  <c r="D31" i="5"/>
  <c r="C31" i="5"/>
  <c r="B31" i="5"/>
  <c r="B34" i="5" s="1"/>
  <c r="F25" i="5"/>
  <c r="E25" i="5"/>
  <c r="D25" i="5"/>
  <c r="C25" i="5"/>
  <c r="B25" i="5"/>
  <c r="B23" i="5"/>
  <c r="B14" i="5"/>
  <c r="C11" i="5"/>
  <c r="B11" i="5"/>
  <c r="F65" i="4"/>
  <c r="E65" i="4"/>
  <c r="D65" i="4"/>
  <c r="C65" i="4"/>
  <c r="B65" i="4"/>
  <c r="B63" i="4"/>
  <c r="F58" i="4"/>
  <c r="E58" i="4"/>
  <c r="D58" i="4"/>
  <c r="C58" i="4"/>
  <c r="B58" i="4"/>
  <c r="B56" i="4"/>
  <c r="F43" i="4"/>
  <c r="E43" i="4"/>
  <c r="D43" i="4"/>
  <c r="C43" i="4"/>
  <c r="B43" i="4"/>
  <c r="F36" i="4"/>
  <c r="E36" i="4"/>
  <c r="E38" i="4" s="1"/>
  <c r="D36" i="4"/>
  <c r="D38" i="4" s="1"/>
  <c r="C36" i="4"/>
  <c r="B36" i="4"/>
  <c r="B38" i="4" s="1"/>
  <c r="F35" i="4"/>
  <c r="E35" i="4"/>
  <c r="D35" i="4"/>
  <c r="C35" i="4"/>
  <c r="B35" i="4"/>
  <c r="B29" i="4"/>
  <c r="B28" i="4"/>
  <c r="B19" i="4"/>
  <c r="C19" i="4" s="1"/>
  <c r="D19" i="4" s="1"/>
  <c r="E19" i="4" s="1"/>
  <c r="F19" i="4" s="1"/>
  <c r="B12" i="4"/>
  <c r="B36" i="3"/>
  <c r="B31" i="3"/>
  <c r="B24" i="3"/>
  <c r="B22" i="3"/>
  <c r="B12" i="3"/>
  <c r="B11" i="4" s="1"/>
  <c r="B30" i="4"/>
  <c r="F27" i="2"/>
  <c r="E27" i="2"/>
  <c r="D27" i="2"/>
  <c r="D31" i="3" s="1"/>
  <c r="C27" i="2"/>
  <c r="C31" i="3" s="1"/>
  <c r="B27" i="2"/>
  <c r="F22" i="2"/>
  <c r="E22" i="2"/>
  <c r="D22" i="2"/>
  <c r="C22" i="2"/>
  <c r="B22" i="2"/>
  <c r="F12" i="2"/>
  <c r="E12" i="2"/>
  <c r="D12" i="2"/>
  <c r="C12" i="2"/>
  <c r="B12" i="2"/>
  <c r="C28" i="1"/>
  <c r="B32" i="4" l="1"/>
  <c r="E11" i="5"/>
  <c r="E31" i="3"/>
  <c r="F11" i="5"/>
  <c r="F31" i="3"/>
  <c r="B17" i="5"/>
  <c r="D11" i="5"/>
  <c r="B47" i="3"/>
  <c r="C38" i="4"/>
  <c r="B32" i="6"/>
  <c r="B16" i="5"/>
  <c r="B57" i="4"/>
  <c r="B59" i="4" s="1"/>
  <c r="B13" i="5"/>
  <c r="B18" i="3"/>
  <c r="C12" i="3"/>
  <c r="B23" i="3"/>
  <c r="F38" i="4"/>
  <c r="B17" i="4" l="1"/>
  <c r="C56" i="4"/>
  <c r="C59" i="4" s="1"/>
  <c r="B64" i="4"/>
  <c r="B66" i="4" s="1"/>
  <c r="B24" i="5"/>
  <c r="C16" i="5"/>
  <c r="C57" i="4"/>
  <c r="C22" i="3"/>
  <c r="C24" i="3"/>
  <c r="C11" i="4"/>
  <c r="C9" i="3"/>
  <c r="C10" i="3" s="1"/>
  <c r="C23" i="5"/>
  <c r="C29" i="4"/>
  <c r="C16" i="3"/>
  <c r="C18" i="3" s="1"/>
  <c r="C14" i="5"/>
  <c r="D12" i="3"/>
  <c r="D28" i="1"/>
  <c r="C12" i="4"/>
  <c r="C13" i="5"/>
  <c r="C23" i="3"/>
  <c r="B28" i="3"/>
  <c r="C29" i="1"/>
  <c r="B19" i="3"/>
  <c r="C30" i="1" s="1"/>
  <c r="B15" i="6"/>
  <c r="B26" i="3"/>
  <c r="B31" i="6"/>
  <c r="B28" i="6"/>
  <c r="C37" i="1"/>
  <c r="B48" i="3"/>
  <c r="B29" i="6" s="1"/>
  <c r="C19" i="3" l="1"/>
  <c r="D30" i="1" s="1"/>
  <c r="C15" i="6"/>
  <c r="C28" i="3"/>
  <c r="D29" i="1"/>
  <c r="B27" i="5"/>
  <c r="B40" i="6"/>
  <c r="D56" i="4"/>
  <c r="D59" i="4" s="1"/>
  <c r="C17" i="4"/>
  <c r="C28" i="4"/>
  <c r="C32" i="4" s="1"/>
  <c r="C40" i="4" s="1"/>
  <c r="C15" i="5"/>
  <c r="B18" i="4"/>
  <c r="B21" i="4" s="1"/>
  <c r="C63" i="4"/>
  <c r="C40" i="6"/>
  <c r="C27" i="5"/>
  <c r="C31" i="1"/>
  <c r="B33" i="3"/>
  <c r="B16" i="6"/>
  <c r="B29" i="3"/>
  <c r="C32" i="1" s="1"/>
  <c r="C30" i="4"/>
  <c r="C47" i="3"/>
  <c r="C17" i="5"/>
  <c r="C24" i="5"/>
  <c r="C64" i="4"/>
  <c r="C26" i="3"/>
  <c r="D32" i="6"/>
  <c r="D11" i="4"/>
  <c r="D23" i="3"/>
  <c r="D29" i="4"/>
  <c r="D16" i="5"/>
  <c r="D22" i="3"/>
  <c r="D24" i="3"/>
  <c r="D23" i="5"/>
  <c r="D16" i="3"/>
  <c r="D14" i="5"/>
  <c r="D12" i="4"/>
  <c r="D9" i="3"/>
  <c r="D10" i="3" s="1"/>
  <c r="E28" i="1"/>
  <c r="D57" i="4"/>
  <c r="D13" i="5"/>
  <c r="E12" i="3"/>
  <c r="C32" i="6"/>
  <c r="D15" i="5" l="1"/>
  <c r="D28" i="4"/>
  <c r="D32" i="4" s="1"/>
  <c r="D40" i="4" s="1"/>
  <c r="D40" i="6"/>
  <c r="D27" i="5"/>
  <c r="E11" i="4"/>
  <c r="E23" i="3"/>
  <c r="E13" i="5"/>
  <c r="E23" i="5"/>
  <c r="E16" i="3"/>
  <c r="E29" i="4"/>
  <c r="E14" i="5"/>
  <c r="E24" i="3"/>
  <c r="E9" i="3"/>
  <c r="E10" i="3" s="1"/>
  <c r="F28" i="1"/>
  <c r="E22" i="3"/>
  <c r="E12" i="4"/>
  <c r="F12" i="3"/>
  <c r="E16" i="5"/>
  <c r="E57" i="4"/>
  <c r="D24" i="5"/>
  <c r="D64" i="4"/>
  <c r="D31" i="1"/>
  <c r="C16" i="6"/>
  <c r="C29" i="3"/>
  <c r="D32" i="1" s="1"/>
  <c r="C33" i="3"/>
  <c r="C30" i="6"/>
  <c r="C49" i="3"/>
  <c r="C31" i="6"/>
  <c r="C28" i="6"/>
  <c r="D37" i="1"/>
  <c r="C48" i="3"/>
  <c r="C29" i="6" s="1"/>
  <c r="D18" i="3"/>
  <c r="D26" i="3"/>
  <c r="E56" i="4"/>
  <c r="D17" i="4"/>
  <c r="B17" i="6"/>
  <c r="B34" i="3"/>
  <c r="B38" i="3"/>
  <c r="D47" i="3"/>
  <c r="D17" i="5"/>
  <c r="D30" i="4"/>
  <c r="C66" i="4"/>
  <c r="E40" i="6" l="1"/>
  <c r="E27" i="5"/>
  <c r="C34" i="3"/>
  <c r="C17" i="6"/>
  <c r="C18" i="4"/>
  <c r="C21" i="4" s="1"/>
  <c r="D63" i="4"/>
  <c r="D66" i="4" s="1"/>
  <c r="E28" i="4"/>
  <c r="E15" i="5"/>
  <c r="E37" i="1"/>
  <c r="D31" i="6"/>
  <c r="D28" i="6"/>
  <c r="D30" i="6"/>
  <c r="D48" i="3"/>
  <c r="D29" i="6" s="1"/>
  <c r="D49" i="3"/>
  <c r="E18" i="3"/>
  <c r="B40" i="3"/>
  <c r="B44" i="5" s="1"/>
  <c r="F13" i="5"/>
  <c r="H28" i="1"/>
  <c r="F32" i="6"/>
  <c r="F29" i="4"/>
  <c r="F11" i="4"/>
  <c r="F57" i="4"/>
  <c r="F16" i="5"/>
  <c r="F22" i="3"/>
  <c r="F14" i="5"/>
  <c r="F9" i="3"/>
  <c r="F16" i="3"/>
  <c r="F10" i="3"/>
  <c r="B9" i="1"/>
  <c r="G28" i="1"/>
  <c r="F18" i="3"/>
  <c r="F24" i="3"/>
  <c r="F12" i="4"/>
  <c r="F23" i="5"/>
  <c r="F23" i="3"/>
  <c r="E24" i="5"/>
  <c r="E64" i="4"/>
  <c r="E59" i="4"/>
  <c r="E26" i="3"/>
  <c r="E32" i="6"/>
  <c r="E17" i="5"/>
  <c r="E47" i="3"/>
  <c r="E30" i="4"/>
  <c r="D15" i="6"/>
  <c r="E29" i="1"/>
  <c r="D19" i="3"/>
  <c r="D28" i="3"/>
  <c r="E32" i="4" l="1"/>
  <c r="E40" i="4" s="1"/>
  <c r="F15" i="5"/>
  <c r="F28" i="4"/>
  <c r="F32" i="4" s="1"/>
  <c r="F40" i="4" s="1"/>
  <c r="D18" i="4"/>
  <c r="D21" i="4" s="1"/>
  <c r="E63" i="4"/>
  <c r="E66" i="4" s="1"/>
  <c r="F56" i="4"/>
  <c r="F59" i="4" s="1"/>
  <c r="F17" i="4" s="1"/>
  <c r="E17" i="4"/>
  <c r="F17" i="5"/>
  <c r="F47" i="3"/>
  <c r="F30" i="4"/>
  <c r="B42" i="3"/>
  <c r="F26" i="3"/>
  <c r="F28" i="3" s="1"/>
  <c r="E15" i="6"/>
  <c r="E19" i="3"/>
  <c r="F30" i="1" s="1"/>
  <c r="F29" i="1"/>
  <c r="E28" i="3"/>
  <c r="G29" i="1"/>
  <c r="H29" i="1"/>
  <c r="F15" i="6"/>
  <c r="F19" i="3"/>
  <c r="G30" i="1" s="1"/>
  <c r="E31" i="6"/>
  <c r="F37" i="1"/>
  <c r="E28" i="6"/>
  <c r="E30" i="6"/>
  <c r="E49" i="3"/>
  <c r="E48" i="3"/>
  <c r="E29" i="6" s="1"/>
  <c r="D29" i="3"/>
  <c r="E32" i="1" s="1"/>
  <c r="D16" i="6"/>
  <c r="E31" i="1"/>
  <c r="D33" i="3"/>
  <c r="F24" i="5"/>
  <c r="F64" i="4"/>
  <c r="F40" i="6"/>
  <c r="F27" i="5"/>
  <c r="F16" i="6" l="1"/>
  <c r="F29" i="3"/>
  <c r="G32" i="1" s="1"/>
  <c r="H31" i="1"/>
  <c r="F33" i="3"/>
  <c r="G31" i="1"/>
  <c r="E16" i="6"/>
  <c r="E29" i="3"/>
  <c r="F32" i="1" s="1"/>
  <c r="E33" i="3"/>
  <c r="F31" i="1"/>
  <c r="B9" i="5"/>
  <c r="B19" i="5" s="1"/>
  <c r="B18" i="6"/>
  <c r="B44" i="4"/>
  <c r="B43" i="3"/>
  <c r="C34" i="1" s="1"/>
  <c r="C33" i="1"/>
  <c r="D17" i="6"/>
  <c r="D34" i="3"/>
  <c r="F21" i="4"/>
  <c r="F31" i="6"/>
  <c r="F48" i="3"/>
  <c r="F29" i="6" s="1"/>
  <c r="F28" i="6"/>
  <c r="F30" i="6"/>
  <c r="H37" i="1"/>
  <c r="F49" i="3"/>
  <c r="G37" i="1"/>
  <c r="E18" i="4"/>
  <c r="E21" i="4" s="1"/>
  <c r="F63" i="4"/>
  <c r="F66" i="4" s="1"/>
  <c r="F18" i="4" s="1"/>
  <c r="E17" i="6" l="1"/>
  <c r="E34" i="3"/>
  <c r="B39" i="6"/>
  <c r="B38" i="5"/>
  <c r="B40" i="5" s="1"/>
  <c r="C35" i="1"/>
  <c r="B46" i="5"/>
  <c r="F17" i="6"/>
  <c r="F34" i="3"/>
  <c r="B46" i="4"/>
  <c r="B48" i="4" l="1"/>
  <c r="B20" i="6"/>
  <c r="B41" i="6"/>
  <c r="B42" i="6"/>
  <c r="C36" i="1"/>
  <c r="B43" i="6"/>
  <c r="C39" i="5"/>
  <c r="C36" i="3"/>
  <c r="C38" i="3" s="1"/>
  <c r="B10" i="4"/>
  <c r="B11" i="6" l="1"/>
  <c r="B12" i="6"/>
  <c r="B14" i="4"/>
  <c r="C40" i="3"/>
  <c r="C44" i="5" s="1"/>
  <c r="C42" i="3" l="1"/>
  <c r="C9" i="5"/>
  <c r="C19" i="5" s="1"/>
  <c r="D33" i="1"/>
  <c r="C43" i="3"/>
  <c r="D34" i="1" s="1"/>
  <c r="C18" i="6"/>
  <c r="C44" i="4"/>
  <c r="B23" i="4"/>
  <c r="B10" i="6"/>
  <c r="B36" i="6" l="1"/>
  <c r="B51" i="4"/>
  <c r="B23" i="6"/>
  <c r="B35" i="6"/>
  <c r="B19" i="6"/>
  <c r="C46" i="4"/>
  <c r="C39" i="6"/>
  <c r="C46" i="5"/>
  <c r="D35" i="1"/>
  <c r="C38" i="5"/>
  <c r="C40" i="5" s="1"/>
  <c r="C41" i="6" l="1"/>
  <c r="C42" i="6"/>
  <c r="D36" i="1"/>
  <c r="C43" i="6"/>
  <c r="D39" i="5"/>
  <c r="C10" i="4"/>
  <c r="D36" i="3"/>
  <c r="D38" i="3" s="1"/>
  <c r="C48" i="4"/>
  <c r="C20" i="6"/>
  <c r="D40" i="3" l="1"/>
  <c r="D44" i="5" s="1"/>
  <c r="C11" i="6"/>
  <c r="C14" i="4"/>
  <c r="C12" i="6"/>
  <c r="C10" i="6" l="1"/>
  <c r="C23" i="4"/>
  <c r="D42" i="3"/>
  <c r="D9" i="5" l="1"/>
  <c r="D19" i="5" s="1"/>
  <c r="E33" i="1"/>
  <c r="D43" i="3"/>
  <c r="E34" i="1" s="1"/>
  <c r="D18" i="6"/>
  <c r="D44" i="4"/>
  <c r="C36" i="6"/>
  <c r="C51" i="4"/>
  <c r="C23" i="6"/>
  <c r="C35" i="6"/>
  <c r="C19" i="6"/>
  <c r="D46" i="4" l="1"/>
  <c r="E35" i="1"/>
  <c r="D39" i="6"/>
  <c r="D46" i="5"/>
  <c r="D38" i="5"/>
  <c r="D40" i="5" s="1"/>
  <c r="D41" i="6" l="1"/>
  <c r="D42" i="6"/>
  <c r="E36" i="1"/>
  <c r="D43" i="6"/>
  <c r="E36" i="3"/>
  <c r="E38" i="3" s="1"/>
  <c r="E39" i="5"/>
  <c r="D10" i="4"/>
  <c r="D48" i="4"/>
  <c r="D20" i="6"/>
  <c r="D12" i="6" l="1"/>
  <c r="D14" i="4"/>
  <c r="D11" i="6"/>
  <c r="E40" i="3"/>
  <c r="E44" i="5" s="1"/>
  <c r="E42" i="3" l="1"/>
  <c r="D10" i="6"/>
  <c r="D23" i="4"/>
  <c r="D36" i="6" l="1"/>
  <c r="D51" i="4"/>
  <c r="D23" i="6"/>
  <c r="D35" i="6"/>
  <c r="D19" i="6"/>
  <c r="E43" i="3"/>
  <c r="F34" i="1" s="1"/>
  <c r="E18" i="6"/>
  <c r="E9" i="5"/>
  <c r="E19" i="5" s="1"/>
  <c r="F33" i="1"/>
  <c r="E44" i="4"/>
  <c r="F35" i="1" l="1"/>
  <c r="E39" i="6"/>
  <c r="E46" i="5"/>
  <c r="E38" i="5"/>
  <c r="E40" i="5" s="1"/>
  <c r="E46" i="4"/>
  <c r="E48" i="4" l="1"/>
  <c r="E20" i="6"/>
  <c r="F39" i="5"/>
  <c r="F36" i="3"/>
  <c r="F38" i="3" s="1"/>
  <c r="E10" i="4"/>
  <c r="E42" i="6"/>
  <c r="E41" i="6"/>
  <c r="F36" i="1"/>
  <c r="E43" i="6"/>
  <c r="E12" i="6" l="1"/>
  <c r="E14" i="4"/>
  <c r="E11" i="6"/>
  <c r="F40" i="3"/>
  <c r="F44" i="5" s="1"/>
  <c r="F42" i="3" l="1"/>
  <c r="E23" i="4"/>
  <c r="E10" i="6"/>
  <c r="D9" i="1"/>
  <c r="F9" i="5"/>
  <c r="F19" i="5" s="1"/>
  <c r="F43" i="3"/>
  <c r="G33" i="1"/>
  <c r="F18" i="6"/>
  <c r="H33" i="1"/>
  <c r="F44" i="4"/>
  <c r="F46" i="4" s="1"/>
  <c r="F48" i="4" s="1"/>
  <c r="F39" i="6" l="1"/>
  <c r="G35" i="1"/>
  <c r="F38" i="5"/>
  <c r="F40" i="5" s="1"/>
  <c r="F10" i="4" s="1"/>
  <c r="F46" i="5"/>
  <c r="H35" i="1"/>
  <c r="F20" i="6"/>
  <c r="F9" i="1"/>
  <c r="G34" i="1"/>
  <c r="E36" i="6"/>
  <c r="E51" i="4"/>
  <c r="E23" i="6"/>
  <c r="E35" i="6"/>
  <c r="E19" i="6"/>
  <c r="F42" i="6" l="1"/>
  <c r="F41" i="6"/>
  <c r="H36" i="1"/>
  <c r="G36" i="1"/>
  <c r="F43" i="6"/>
  <c r="F14" i="4"/>
  <c r="F12" i="6"/>
  <c r="F11" i="6"/>
  <c r="F23" i="4" l="1"/>
  <c r="F10" i="6"/>
  <c r="F36" i="6" l="1"/>
  <c r="F51" i="4"/>
  <c r="F23" i="6"/>
  <c r="F35" i="6"/>
  <c r="F19" i="6"/>
</calcChain>
</file>

<file path=xl/sharedStrings.xml><?xml version="1.0" encoding="utf-8"?>
<sst xmlns="http://schemas.openxmlformats.org/spreadsheetml/2006/main" count="403" uniqueCount="303">
  <si>
    <t>ANNUAL FINANCIAL STATEMENTS</t>
  </si>
  <si>
    <t>TechVenture LLC  |  Austin, Texas  |  Portfolio Sample (Illustrative)</t>
  </si>
  <si>
    <t>Fiscal Years 2021–2025  |  Fully Dynamic Linked Model  |  Every cell is a live formula</t>
  </si>
  <si>
    <t>FY2025 Total Revenue</t>
  </si>
  <si>
    <t>FY2025 Net Income</t>
  </si>
  <si>
    <t>FY2025 Net Profit Margin</t>
  </si>
  <si>
    <t>PROJECT DETAILS</t>
  </si>
  <si>
    <t>CLIENT</t>
  </si>
  <si>
    <t>DURATION</t>
  </si>
  <si>
    <t>TechVenture LLC — Austin, TX  (Illustrative Sample)</t>
  </si>
  <si>
    <t>4 Days</t>
  </si>
  <si>
    <t>TOOLS</t>
  </si>
  <si>
    <t>MODEL TYPE</t>
  </si>
  <si>
    <t>Microsoft Excel, GAAP Standards, Pivot Tables</t>
  </si>
  <si>
    <t>Fully Dynamic — All formulas linked</t>
  </si>
  <si>
    <t>DELIVERABLES</t>
  </si>
  <si>
    <t>STANDARDS</t>
  </si>
  <si>
    <t>Income Statement · Balance Sheet · Cash Flow · Ratio Analysis</t>
  </si>
  <si>
    <t>US GAAP (ASC 606, 230, 350-40)</t>
  </si>
  <si>
    <t>IMPACT</t>
  </si>
  <si>
    <t>PREPARER</t>
  </si>
  <si>
    <t>Investor-ready model structured to support Series A fundraising narrative</t>
  </si>
  <si>
    <t>Muhammad Zeenat Ullah  |  CA Finalist  |  Ex-KPMG  |  QBO ProAdvisor</t>
  </si>
  <si>
    <t>FIVE-YEAR PERFORMANCE SUMMARY  —  Live Formula Values (Updates Automatically)</t>
  </si>
  <si>
    <t>METRIC</t>
  </si>
  <si>
    <t>FY2021</t>
  </si>
  <si>
    <t>FY2022</t>
  </si>
  <si>
    <t>FY2023</t>
  </si>
  <si>
    <t>FY2024</t>
  </si>
  <si>
    <t>FY2025</t>
  </si>
  <si>
    <t>4-YR CAGR</t>
  </si>
  <si>
    <t>Total Revenue</t>
  </si>
  <si>
    <t>Gross Profit</t>
  </si>
  <si>
    <t>Gross Margin</t>
  </si>
  <si>
    <t>—</t>
  </si>
  <si>
    <t>EBITDA</t>
  </si>
  <si>
    <t>EBITDA Margin</t>
  </si>
  <si>
    <t>Net Income</t>
  </si>
  <si>
    <t>Net Profit Margin</t>
  </si>
  <si>
    <t>Operating Cash Flow</t>
  </si>
  <si>
    <t>Free Cash Flow</t>
  </si>
  <si>
    <t>ARR</t>
  </si>
  <si>
    <t>Prepared by: Muhammad Zeenat Ullah  |  CA Finalist  |  Ex-KPMG  |  QBO ProAdvisor  |  This is an illustrative sample model. All KPIs above update when assumptions change.</t>
  </si>
  <si>
    <t>MODEL ASSUMPTIONS &amp; DRIVERS</t>
  </si>
  <si>
    <t>TechVenture LLC  —  Portfolio Sample (Illustrative)</t>
  </si>
  <si>
    <t>BLUE = hardcoded inputs.  BLACK = formula-calculated.  Change any blue cell to update the entire model.</t>
  </si>
  <si>
    <t>ASSUMPTION</t>
  </si>
  <si>
    <t>REVENUE DRIVERS</t>
  </si>
  <si>
    <t>Base Revenue — FY2021 (Input)</t>
  </si>
  <si>
    <t>YoY Revenue Growth</t>
  </si>
  <si>
    <t>N/A</t>
  </si>
  <si>
    <t>Subscription Revenue (% of Total)</t>
  </si>
  <si>
    <t>Professional Services (% of Total)</t>
  </si>
  <si>
    <t>GROSS MARGIN</t>
  </si>
  <si>
    <t>Gross Margin %</t>
  </si>
  <si>
    <t>OPERATING EXPENSES (% of Revenue)</t>
  </si>
  <si>
    <t>Sales &amp; Marketing %</t>
  </si>
  <si>
    <t>Research &amp; Development %</t>
  </si>
  <si>
    <t>General &amp; Administrative %</t>
  </si>
  <si>
    <t>Total OpEx % (formula)</t>
  </si>
  <si>
    <t>DEPRECIATION, AMORTIZATION &amp; CAPEX</t>
  </si>
  <si>
    <t>PP&amp;E Depreciation</t>
  </si>
  <si>
    <t>Software Amortization</t>
  </si>
  <si>
    <t>Total D&amp;A (formula = PP&amp;E Depr + SW Amort)</t>
  </si>
  <si>
    <t>PP&amp;E Capex (% of Revenue)</t>
  </si>
  <si>
    <t>Software Capitalization (% of R&amp;D)</t>
  </si>
  <si>
    <t>WORKING CAPITAL DRIVERS</t>
  </si>
  <si>
    <t>Days Sales Outstanding (DSO)</t>
  </si>
  <si>
    <t>Days Payable Outstanding (DPO)</t>
  </si>
  <si>
    <t>Deferred Revenue (% of Subscription Revenue)</t>
  </si>
  <si>
    <t>Accrued Liabilities (% of Revenue)</t>
  </si>
  <si>
    <t>Prepaid Expenses (% of Revenue)</t>
  </si>
  <si>
    <t>TAX &amp; INTEREST</t>
  </si>
  <si>
    <t>Effective Income Tax Rate</t>
  </si>
  <si>
    <t>Interest Rate on Beginning-of-Period Cash</t>
  </si>
  <si>
    <t>OPENING BALANCE SHEET — December 31, 2020 (Hardcoded Inputs)</t>
  </si>
  <si>
    <t>Cash &amp; Cash Equivalents</t>
  </si>
  <si>
    <t>Accounts Receivable, Net</t>
  </si>
  <si>
    <t>Prepaid Expenses</t>
  </si>
  <si>
    <t>Property &amp; Equipment, Net</t>
  </si>
  <si>
    <t>Capitalized Software, Net</t>
  </si>
  <si>
    <t>Security Deposits</t>
  </si>
  <si>
    <t>Accounts Payable</t>
  </si>
  <si>
    <t>Accrued Liabilities</t>
  </si>
  <si>
    <t>Deferred Revenue</t>
  </si>
  <si>
    <t>Common Stock &amp; APIC</t>
  </si>
  <si>
    <t>Retained Earnings / (Accumulated Deficit)</t>
  </si>
  <si>
    <t>HOW THIS MODEL WORKS: Every computed cell in this workbook contains a live Excel formula. Change any blue cell above and every line in the Income Statement, Balance Sheet, Cash Flow, and Ratio Analysis updates automatically. No hardcoded values outside this sheet. Balance Sheet always balances (check row = $0). This is an illustrative sample — not a real client engagement.</t>
  </si>
  <si>
    <t>CONSOLIDATED STATEMENTS OF OPERATIONS</t>
  </si>
  <si>
    <t>Years Ended December 31, 2021–2025  |  USD  |  US GAAP  |  All lines are live formulas</t>
  </si>
  <si>
    <t xml:space="preserve">  REVENUE</t>
  </si>
  <si>
    <t xml:space="preserve">  Subscription Revenue</t>
  </si>
  <si>
    <t xml:space="preserve">  Professional Services Revenue</t>
  </si>
  <si>
    <t xml:space="preserve">  Revenue YoY Growth</t>
  </si>
  <si>
    <t xml:space="preserve">  COST OF REVENUE</t>
  </si>
  <si>
    <t>Total Cost of Revenue</t>
  </si>
  <si>
    <t xml:space="preserve">  Gross Margin</t>
  </si>
  <si>
    <t xml:space="preserve">  OPERATING EXPENSES</t>
  </si>
  <si>
    <t>Sales &amp; Marketing</t>
  </si>
  <si>
    <t>Research &amp; Development</t>
  </si>
  <si>
    <t>General &amp; Administrative</t>
  </si>
  <si>
    <t>Total Operating Expenses</t>
  </si>
  <si>
    <t xml:space="preserve">  EBITDA Margin</t>
  </si>
  <si>
    <t>Less: Depreciation &amp; Amortization</t>
  </si>
  <si>
    <t>Operating Income (EBIT)</t>
  </si>
  <si>
    <t xml:space="preserve">  EBIT Margin</t>
  </si>
  <si>
    <t>Interest Income, Net</t>
  </si>
  <si>
    <t>Earnings Before Income Tax (EBT)</t>
  </si>
  <si>
    <t>Less: Income Tax Provision</t>
  </si>
  <si>
    <t>NET INCOME</t>
  </si>
  <si>
    <t xml:space="preserve">  Net Profit Margin</t>
  </si>
  <si>
    <t xml:space="preserve">  SaaS &amp; OPERATING METRICS</t>
  </si>
  <si>
    <t>Annual Recurring Revenue (ARR)</t>
  </si>
  <si>
    <t>Monthly Recurring Revenue (MRR)</t>
  </si>
  <si>
    <t xml:space="preserve">  ARR YoY Growth</t>
  </si>
  <si>
    <t>FORMULA LEGEND: Revenue formulas reference Assumptions sheet. COGS = Revenue × (1 − Gross Margin%). Each OpEx line = Revenue × its Assumptions rate. D&amp;A linked from Assumptions. Interest = prior-year CF ending cash × Assumptions interest rate. Tax = MAX(EBT × rate, 0). Net Income flows to Balance Sheet retained earnings and Cash Flow.</t>
  </si>
  <si>
    <t>CONSOLIDATED BALANCE SHEETS</t>
  </si>
  <si>
    <t>As of December 31, 2021–2025  |  USD  |  US GAAP  |  All items formula-driven  |  Balance check must = $0</t>
  </si>
  <si>
    <t>Dec 31, 2021</t>
  </si>
  <si>
    <t>Dec 31, 2022</t>
  </si>
  <si>
    <t>Dec 31, 2023</t>
  </si>
  <si>
    <t>Dec 31, 2024</t>
  </si>
  <si>
    <t>Dec 31, 2025</t>
  </si>
  <si>
    <t xml:space="preserve">  ASSETS</t>
  </si>
  <si>
    <t xml:space="preserve">  Current Assets</t>
  </si>
  <si>
    <t>Cash and Cash Equivalents</t>
  </si>
  <si>
    <t>Prepaid Expenses and Other</t>
  </si>
  <si>
    <t>Total Current Assets</t>
  </si>
  <si>
    <t xml:space="preserve">  Non-Current Assets</t>
  </si>
  <si>
    <t>Property and Equipment, Net</t>
  </si>
  <si>
    <t>Capitalized Software Development Costs, Net</t>
  </si>
  <si>
    <t>Security Deposits and Other Assets</t>
  </si>
  <si>
    <t>Total Non-Current Assets</t>
  </si>
  <si>
    <t>TOTAL ASSETS</t>
  </si>
  <si>
    <t xml:space="preserve">  LIABILITIES AND STOCKHOLDERS' EQUITY</t>
  </si>
  <si>
    <t xml:space="preserve">  Current Liabilities</t>
  </si>
  <si>
    <t>Deferred Revenue, Current Portion</t>
  </si>
  <si>
    <t>Total Current Liabilities</t>
  </si>
  <si>
    <t xml:space="preserve">  Non-Current Liabilities</t>
  </si>
  <si>
    <t>Long-Term Deferred Revenue</t>
  </si>
  <si>
    <t>Other Long-Term Liabilities</t>
  </si>
  <si>
    <t>Total Non-Current Liabilities</t>
  </si>
  <si>
    <t>TOTAL LIABILITIES</t>
  </si>
  <si>
    <t xml:space="preserve">  Stockholders' Equity</t>
  </si>
  <si>
    <t>Common Stock and Additional Paid-In Capital</t>
  </si>
  <si>
    <t>Total Stockholders' Equity</t>
  </si>
  <si>
    <t>TOTAL LIABILITIES AND STOCKHOLDERS' EQUITY</t>
  </si>
  <si>
    <t xml:space="preserve">  BALANCE CHECK — Must Always Equal $0</t>
  </si>
  <si>
    <t>Total Assets − Total Liabilities &amp; Equity</t>
  </si>
  <si>
    <t xml:space="preserve">  SUPPORTING SCHEDULES</t>
  </si>
  <si>
    <t xml:space="preserve">  Schedule 1 — Property &amp; Equipment Rollforward (Net)</t>
  </si>
  <si>
    <t>Opening PP&amp;E, Net</t>
  </si>
  <si>
    <t>Add: Capital Expenditures</t>
  </si>
  <si>
    <t>Less: Depreciation</t>
  </si>
  <si>
    <t>Closing PP&amp;E, Net</t>
  </si>
  <si>
    <t xml:space="preserve">  Schedule 2 — Capitalized Software Rollforward (Net)</t>
  </si>
  <si>
    <t>Opening Capitalized Software, Net</t>
  </si>
  <si>
    <t>Add: Capitalized Development Costs</t>
  </si>
  <si>
    <t>Less: Amortization</t>
  </si>
  <si>
    <t>Closing Capitalized Software, Net</t>
  </si>
  <si>
    <t>FORMULA LEGEND: Cash = Cash Flow ending balance (direct link). AR = Revenue × DSO/365. Prepaid = Revenue × Prepaid%. AP = COGS × DPO/365. Accrued = Revenue × Accrued%. Deferred = Subscription Revenue × Deferred%. PP&amp;E and Software use rollforward schedules above. Retained Earnings = Prior year balance + Current year Net Income. Common Stock constant at opening APIC. Balance Check row must always equal $0.</t>
  </si>
  <si>
    <t>CONSOLIDATED STATEMENTS OF CASH FLOWS</t>
  </si>
  <si>
    <t>Years Ended December 31, 2021–2025  |  USD  |  US GAAP  |  Indirect Method  |  All formulas linked</t>
  </si>
  <si>
    <t xml:space="preserve">  CASH FLOWS FROM OPERATING ACTIVITIES</t>
  </si>
  <si>
    <t>Net Income (linked from Income Statement)</t>
  </si>
  <si>
    <t xml:space="preserve">  Non-Cash Adjustments:</t>
  </si>
  <si>
    <t>Add: Depreciation &amp; Amortization</t>
  </si>
  <si>
    <t xml:space="preserve">  Changes in Operating Assets &amp; Liabilities:</t>
  </si>
  <si>
    <t>Decrease / (Increase) in Accounts Receivable</t>
  </si>
  <si>
    <t>Decrease / (Increase) in Prepaid Expenses</t>
  </si>
  <si>
    <t>Increase / (Decrease) in Accounts Payable</t>
  </si>
  <si>
    <t>Increase / (Decrease) in Accrued Liabilities</t>
  </si>
  <si>
    <t>Increase / (Decrease) in Deferred Revenue</t>
  </si>
  <si>
    <t>Net Cash Provided by Operating Activities</t>
  </si>
  <si>
    <t xml:space="preserve">  CASH FLOWS FROM INVESTING ACTIVITIES</t>
  </si>
  <si>
    <t>Purchase of Property and Equipment</t>
  </si>
  <si>
    <t>Capitalized Software Development Costs</t>
  </si>
  <si>
    <t>Security Deposits Paid / (Returned)</t>
  </si>
  <si>
    <t>Net Cash Used in Investing Activities</t>
  </si>
  <si>
    <t xml:space="preserve">  CASH FLOWS FROM FINANCING ACTIVITIES</t>
  </si>
  <si>
    <t>Proceeds from Equity Issuances</t>
  </si>
  <si>
    <t>Dividends and Distributions Paid</t>
  </si>
  <si>
    <t>Net Cash from Financing Activities</t>
  </si>
  <si>
    <t xml:space="preserve">  NET CHANGE IN CASH</t>
  </si>
  <si>
    <t>Net Increase / (Decrease) in Cash</t>
  </si>
  <si>
    <t>Cash and Cash Equivalents, Beginning of Period</t>
  </si>
  <si>
    <t>Cash and Cash Equivalents, End of Period</t>
  </si>
  <si>
    <t xml:space="preserve">  SUPPLEMENTAL CASH FLOW INFORMATION</t>
  </si>
  <si>
    <t>Income Taxes Paid</t>
  </si>
  <si>
    <t>Interest Paid</t>
  </si>
  <si>
    <t>Free Cash Flow (OCF + Investing Outflows)</t>
  </si>
  <si>
    <t>FORMULA LEGEND: Net Income linked from Income Statement. D&amp;A linked from Assumptions. All WC changes computed as (current year balance - prior year balance) using IS and Assumptions formulas. FY2021 WC changes use opening balances from Assumptions. Capex = negative of Balance Sheet rollforward Capex. Ending Cash = Beginning Cash + Net Change. Balance Sheet Cash = this Ending Cash. No circular references.</t>
  </si>
  <si>
    <t>FINANCIAL RATIO ANALYSIS</t>
  </si>
  <si>
    <t>All ratios are live Excel formulas referencing Income Statement and Balance Sheet  |  FY2021–FY2025</t>
  </si>
  <si>
    <t>COMMENTARY</t>
  </si>
  <si>
    <t xml:space="preserve">  LIQUIDITY RATIOS</t>
  </si>
  <si>
    <t>Current Ratio</t>
  </si>
  <si>
    <t>Current Assets ÷ Current Liabilities. &gt;2.0x = strong.</t>
  </si>
  <si>
    <t>Quick Ratio</t>
  </si>
  <si>
    <t>(Cash + AR) ÷ Current Liabilities.</t>
  </si>
  <si>
    <t>Cash Ratio</t>
  </si>
  <si>
    <t>Cash ÷ Current Liabilities.</t>
  </si>
  <si>
    <t xml:space="preserve">  PROFITABILITY RATIOS</t>
  </si>
  <si>
    <t>Gross Profit ÷ Revenue. 80% is elite SaaS.</t>
  </si>
  <si>
    <t>EBITDA ÷ Revenue. Expanding every year.</t>
  </si>
  <si>
    <t>EBIT Margin</t>
  </si>
  <si>
    <t>EBIT ÷ Revenue. Converging toward EBITDA margin.</t>
  </si>
  <si>
    <t>~29% NI margin reflects a well-scaled SaaS model.</t>
  </si>
  <si>
    <t>Return on Assets (ROA)</t>
  </si>
  <si>
    <t>NI ÷ Average Total Assets.</t>
  </si>
  <si>
    <t>Return on Equity (ROE)</t>
  </si>
  <si>
    <t>NI ÷ Average Equity.</t>
  </si>
  <si>
    <t xml:space="preserve">  EFFICIENCY METRICS</t>
  </si>
  <si>
    <t>Asset Turnover</t>
  </si>
  <si>
    <t>Revenue ÷ Total Assets.</t>
  </si>
  <si>
    <t>Days Sales Outstanding</t>
  </si>
  <si>
    <t>Consistent 30-day collection cycle.</t>
  </si>
  <si>
    <t>Days Payable Outstanding</t>
  </si>
  <si>
    <t>Maintaining 30-day payment terms.</t>
  </si>
  <si>
    <t xml:space="preserve">  SaaS-SPECIFIC METRICS</t>
  </si>
  <si>
    <t>Subscription revenue. Core growth engine.</t>
  </si>
  <si>
    <t>ARR ÷ 12.</t>
  </si>
  <si>
    <t>ARR Growth Rate</t>
  </si>
  <si>
    <t>30–50% ARR growth annually.</t>
  </si>
  <si>
    <t>ARR % of Total Revenue</t>
  </si>
  <si>
    <t>90% recurring revenue — predictable and investor-grade.</t>
  </si>
  <si>
    <t>S&amp;M Efficiency (Rev ÷ S&amp;M)</t>
  </si>
  <si>
    <t>Revenue per $1 S&amp;M. Improving trend.</t>
  </si>
  <si>
    <t xml:space="preserve">  LEVERAGE &amp; CAPITAL STRUCTURE</t>
  </si>
  <si>
    <t>Total Liabilities / Total Assets</t>
  </si>
  <si>
    <t>Leverage declining as equity grows.</t>
  </si>
  <si>
    <t>Equity Multiplier (Assets / Equity)</t>
  </si>
  <si>
    <t>Approaching 1.0x as company is nearly all-equity.</t>
  </si>
  <si>
    <t xml:space="preserve">  FREE CASH FLOW ANALYSIS</t>
  </si>
  <si>
    <t>Operating Cash Flow (OCF)</t>
  </si>
  <si>
    <t>Rapid OCF scaling validates earnings quality.</t>
  </si>
  <si>
    <t>Total Capital Expenditures</t>
  </si>
  <si>
    <t>PP&amp;E + Software. Asset-light model (&lt;3% of revenue).</t>
  </si>
  <si>
    <t>Free Cash Flow (FCF)</t>
  </si>
  <si>
    <t>OCF minus total Capex.</t>
  </si>
  <si>
    <t>FCF Margin</t>
  </si>
  <si>
    <t>~29% FCF margin is Series A/B ready.</t>
  </si>
  <si>
    <t>FCF / Net Income (Quality Check)</t>
  </si>
  <si>
    <t>≈1.0x confirms cash earnings match reported income.</t>
  </si>
  <si>
    <t>ALL RATIOS ARE LIVE FORMULAS referencing the Income Statement and Balance Sheet. Change any assumption and every ratio updates. ROA/ROE use period-average balances. FCF = OCF + Investing outflows (net of security deposits). This model proves: when assumptions change, the entire model updates — not just individual cells.</t>
  </si>
  <si>
    <t xml:space="preserve"> </t>
  </si>
  <si>
    <t>This is a sample portfolio project prepared by Muhammad Zeenat Ullah (CA Finalist ICAP | Ex-KPMG | QBO Pro Advisor | Excel Expert) to demonstrate financial modelling capability, GAAP compliance, and output quality. Client: TechVenture LLC — Austin, TX (Illustrative). All figures represent a realistic 5-year SaaS financial model. Confidential — for client review only.</t>
  </si>
  <si>
    <t>Free Sample</t>
  </si>
  <si>
    <t>+44 7577 845321</t>
  </si>
  <si>
    <t>WhatsApp</t>
  </si>
  <si>
    <t>zeenatullah.bookkeeper@gmail.com</t>
  </si>
  <si>
    <t>Email</t>
  </si>
  <si>
    <t>Financial modelling, bookkeeping &amp; GAAP reporting for US-based clients</t>
  </si>
  <si>
    <t>Speciality</t>
  </si>
  <si>
    <t>CA Finalist (ICAP)  |  Ex-KPMG  |  QBO Pro Advisor  |  Excel Expert</t>
  </si>
  <si>
    <t>Credentials</t>
  </si>
  <si>
    <t>Muhammad Zeenat Ullah</t>
  </si>
  <si>
    <t>Name</t>
  </si>
  <si>
    <t xml:space="preserve">  CONTACT INFORMATION</t>
  </si>
  <si>
    <t>Revenue recognition per ASC 606, cash flow per ASC 230, capitalised software per ASC 350-40. Investor-ready and audit-ready from day one.</t>
  </si>
  <si>
    <t>GAAP-Compliant Output</t>
  </si>
  <si>
    <t>All 432 formulas are verified and cross-referenced. Balance Sheet check row always equals $0. Cash Flow ending cash always matches Balance Sheet cash.</t>
  </si>
  <si>
    <t>Zero Formula Errors</t>
  </si>
  <si>
    <t>Every number in the IS, BS, CF, and Ratios is a live formula. Change one assumption and the entire 5-year model updates automatically — zero hardcoding.</t>
  </si>
  <si>
    <t>Fully Dynamic Financial Model</t>
  </si>
  <si>
    <t>Output is structured for direct use in QuickBooks Online, Excel dashboards, and US accounting workflows — zero reformatting on your end.</t>
  </si>
  <si>
    <t>Certified QBO Pro Advisor</t>
  </si>
  <si>
    <t>I understand the numbers, not just the format. 3-statement models, ratio analysis, deferred revenue, and GAAP compliance are handled correctly the first time.</t>
  </si>
  <si>
    <t>CA Finalist — ICAP</t>
  </si>
  <si>
    <t>Trained at one of the Big 4 global accounting firms — your financials are handled with enterprise-level rigour, not basic spreadsheet work.</t>
  </si>
  <si>
    <t>Ex-KPMG Professional</t>
  </si>
  <si>
    <t>What That Means For You</t>
  </si>
  <si>
    <t>My Background &amp; Credentials</t>
  </si>
  <si>
    <t xml:space="preserve">  WHY MUHAMMAD ZEENAT ULLAH — MY CREDENTIALS</t>
  </si>
  <si>
    <t>On request</t>
  </si>
  <si>
    <t>Available</t>
  </si>
  <si>
    <t>Included — within 24 hrs of request</t>
  </si>
  <si>
    <t>1 round</t>
  </si>
  <si>
    <t>Free Revision Round</t>
  </si>
  <si>
    <t>Delivered</t>
  </si>
  <si>
    <t>.xlsx — 25+ live ratios, 6 categories, formula-driven</t>
  </si>
  <si>
    <t>1 sheet</t>
  </si>
  <si>
    <t>Financial Ratio Analysis</t>
  </si>
  <si>
    <t>.xlsx — FY2021–FY2025, indirect method, ASC 230</t>
  </si>
  <si>
    <t>Cash Flow Statement (US GAAP)</t>
  </si>
  <si>
    <t>.xlsx — FY2021–FY2025, PP&amp;E &amp; software rollforward</t>
  </si>
  <si>
    <t>Balance Sheet (US GAAP)</t>
  </si>
  <si>
    <t>.xlsx — FY2021–FY2025, fully formula-linked, 3-statement</t>
  </si>
  <si>
    <t>Income Statement (US GAAP)</t>
  </si>
  <si>
    <t>.xlsx — 93 hardcoded drivers, all inputs centralised</t>
  </si>
  <si>
    <t>Model Assumptions Sheet</t>
  </si>
  <si>
    <t>.xlsx — KPI boxes, 5-year summary, live formula metrics</t>
  </si>
  <si>
    <t>Cover &amp; Executive Dashboard</t>
  </si>
  <si>
    <t>Delivery Date</t>
  </si>
  <si>
    <t>Status</t>
  </si>
  <si>
    <t>Format</t>
  </si>
  <si>
    <t>Quantity</t>
  </si>
  <si>
    <t>Deliverable</t>
  </si>
  <si>
    <t>#</t>
  </si>
  <si>
    <t xml:space="preserve">  PROJECT DELIVERABLES</t>
  </si>
  <si>
    <t>Muhammad Zeenat Ullah  |  CA Finalist (ICAP)  |  Ex-KPMG  |  QBO Pro Advisor  |  Excel Expert</t>
  </si>
  <si>
    <t>Deliverables Checklist &amp; Contact Information</t>
  </si>
  <si>
    <t>Send one file — free quote within 24 hours at no charge, no commitment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</si>
</sst>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quot;x&quot;"/>
  </numFmts>
  <fonts count="41" x14ac:knownFonts="1">
    <font>
      <sz val="11"/>
      <color theme="1"/>
      <name val="Calibri"/>
      <family val="2"/>
      <scheme val="minor"/>
    </font>
    <font>
      <b/>
      <sz val="15"/>
      <color rgb="FF0F2342"/>
      <name val="Calibri"/>
    </font>
    <font>
      <b/>
      <sz val="11"/>
      <color rgb="FF1B3D6F"/>
      <name val="Calibri"/>
    </font>
    <font>
      <i/>
      <sz val="9"/>
      <color rgb="FF555555"/>
      <name val="Calibri"/>
    </font>
    <font>
      <b/>
      <sz val="10"/>
      <color rgb="FFFFFFFF"/>
      <name val="Calibri"/>
    </font>
    <font>
      <b/>
      <sz val="9"/>
      <color rgb="FFFFFFFF"/>
      <name val="Calibri"/>
    </font>
    <font>
      <sz val="10"/>
      <color rgb="FF1A1A1A"/>
      <name val="Calibri"/>
    </font>
    <font>
      <sz val="10"/>
      <color rgb="FF0D47A1"/>
      <name val="Calibri"/>
    </font>
    <font>
      <sz val="9"/>
      <color rgb="FF555555"/>
      <name val="Calibri"/>
    </font>
    <font>
      <sz val="10"/>
      <color rgb="FF000000"/>
      <name val="Calibri"/>
    </font>
    <font>
      <i/>
      <sz val="8"/>
      <color rgb="FF555555"/>
      <name val="Calibri"/>
    </font>
    <font>
      <b/>
      <sz val="10"/>
      <color rgb="FF1B3D6F"/>
      <name val="Calibri"/>
    </font>
    <font>
      <b/>
      <i/>
      <sz val="9"/>
      <color rgb="FF2A5298"/>
      <name val="Calibri"/>
    </font>
    <font>
      <b/>
      <sz val="10"/>
      <color rgb="FF0F2342"/>
      <name val="Calibri"/>
    </font>
    <font>
      <sz val="10"/>
      <color rgb="FF1B5E20"/>
      <name val="Calibri"/>
    </font>
    <font>
      <b/>
      <sz val="9"/>
      <color rgb="FF1B5E20"/>
      <name val="Calibri"/>
    </font>
    <font>
      <b/>
      <sz val="8"/>
      <color rgb="FFFFFFFF"/>
      <name val="Calibri"/>
    </font>
    <font>
      <b/>
      <sz val="10"/>
      <color rgb="FF1A1A1A"/>
      <name val="Calibri"/>
    </font>
    <font>
      <b/>
      <sz val="10"/>
      <color rgb="FF2A5298"/>
      <name val="Calibri"/>
    </font>
    <font>
      <b/>
      <sz val="18"/>
      <color rgb="FFC8991E"/>
      <name val="Calibri"/>
    </font>
    <font>
      <b/>
      <sz val="12"/>
      <color rgb="FFAECBF0"/>
      <name val="Calibri"/>
    </font>
    <font>
      <i/>
      <sz val="10"/>
      <color rgb="FF8BAACF"/>
      <name val="Calibri"/>
    </font>
    <font>
      <b/>
      <sz val="28"/>
      <color rgb="FF4FC3F7"/>
      <name val="Calibri"/>
    </font>
    <font>
      <sz val="10"/>
      <color rgb="FFDDDDDD"/>
      <name val="Calibri"/>
    </font>
    <font>
      <b/>
      <sz val="28"/>
      <color rgb="FFA5D6A7"/>
      <name val="Calibri"/>
    </font>
    <font>
      <b/>
      <sz val="28"/>
      <color rgb="FFFFCC80"/>
      <name val="Calibri"/>
    </font>
    <font>
      <b/>
      <sz val="11"/>
      <color rgb="FF0F2342"/>
      <name val="Calibri"/>
    </font>
    <font>
      <b/>
      <i/>
      <sz val="8"/>
      <color rgb="FF2A5298"/>
      <name val="Calibri"/>
    </font>
    <font>
      <sz val="9"/>
      <color rgb="FF1A1A1A"/>
      <name val="Calibri"/>
    </font>
    <font>
      <sz val="9"/>
      <color rgb="FF0F2342"/>
      <name val="Calibri"/>
    </font>
    <font>
      <sz val="11"/>
      <color rgb="FFFF0000"/>
      <name val="Calibri"/>
      <family val="2"/>
      <scheme val="minor"/>
    </font>
    <font>
      <i/>
      <sz val="8"/>
      <color rgb="FFFF0000"/>
      <name val="Calibri"/>
      <family val="2"/>
    </font>
    <font>
      <sz val="11"/>
      <color theme="1"/>
      <name val="Calibri"/>
      <family val="2"/>
      <charset val="1"/>
    </font>
    <font>
      <i/>
      <sz val="8"/>
      <color rgb="FF5D6D7E"/>
      <name val="Calibri"/>
      <charset val="1"/>
    </font>
    <font>
      <sz val="9"/>
      <color rgb="FF1A1A2E"/>
      <name val="Calibri"/>
      <charset val="1"/>
    </font>
    <font>
      <b/>
      <sz val="9"/>
      <color rgb="FF1A1A2E"/>
      <name val="Calibri"/>
      <charset val="1"/>
    </font>
    <font>
      <b/>
      <sz val="11"/>
      <color rgb="FFFFFFFF"/>
      <name val="Calibri"/>
      <charset val="1"/>
    </font>
    <font>
      <b/>
      <sz val="9"/>
      <color rgb="FFFFFFFF"/>
      <name val="Calibri"/>
      <charset val="1"/>
    </font>
    <font>
      <b/>
      <sz val="9"/>
      <color rgb="FF1ABC9C"/>
      <name val="Calibri"/>
      <charset val="1"/>
    </font>
    <font>
      <b/>
      <sz val="10"/>
      <color rgb="FFFFFFFF"/>
      <name val="Calibri"/>
      <charset val="1"/>
    </font>
    <font>
      <b/>
      <sz val="14"/>
      <color rgb="FFFFFFFF"/>
      <name val="Calibri"/>
      <charset val="1"/>
    </font>
  </fonts>
  <fills count="20">
    <fill>
      <patternFill patternType="none"/>
    </fill>
    <fill>
      <patternFill patternType="gray125"/>
    </fill>
    <fill>
      <patternFill patternType="solid">
        <fgColor rgb="FF0F2342"/>
      </patternFill>
    </fill>
    <fill>
      <patternFill patternType="solid">
        <fgColor rgb="FFFFFFFF"/>
      </patternFill>
    </fill>
    <fill>
      <patternFill patternType="solid">
        <fgColor rgb="FF1B3D6F"/>
      </patternFill>
    </fill>
    <fill>
      <patternFill patternType="solid">
        <fgColor rgb="FFF3F8FF"/>
      </patternFill>
    </fill>
    <fill>
      <patternFill patternType="solid">
        <fgColor rgb="FFD9E9FB"/>
      </patternFill>
    </fill>
    <fill>
      <patternFill patternType="solid">
        <fgColor rgb="FFC1D8F5"/>
      </patternFill>
    </fill>
    <fill>
      <patternFill patternType="solid">
        <fgColor rgb="FF2A5298"/>
      </patternFill>
    </fill>
    <fill>
      <patternFill patternType="solid">
        <fgColor rgb="FFE6F4EA"/>
      </patternFill>
    </fill>
    <fill>
      <patternFill patternType="solid">
        <fgColor rgb="FFC8991E"/>
      </patternFill>
    </fill>
    <fill>
      <patternFill patternType="solid">
        <fgColor rgb="FF15396A"/>
      </patternFill>
    </fill>
    <fill>
      <patternFill patternType="solid">
        <fgColor rgb="FF1A5C2E"/>
      </patternFill>
    </fill>
    <fill>
      <patternFill patternType="solid">
        <fgColor rgb="FF6D3B00"/>
      </patternFill>
    </fill>
    <fill>
      <patternFill patternType="solid">
        <fgColor rgb="FFF4F6F8"/>
        <bgColor rgb="FFEAF2FB"/>
      </patternFill>
    </fill>
    <fill>
      <patternFill patternType="solid">
        <fgColor rgb="FFFFFFFF"/>
        <bgColor rgb="FFF4F6F8"/>
      </patternFill>
    </fill>
    <fill>
      <patternFill patternType="solid">
        <fgColor rgb="FFEAF2FB"/>
        <bgColor rgb="FFF4F6F8"/>
      </patternFill>
    </fill>
    <fill>
      <patternFill patternType="solid">
        <fgColor rgb="FF2980B9"/>
        <bgColor rgb="FF008080"/>
      </patternFill>
    </fill>
    <fill>
      <patternFill patternType="solid">
        <fgColor rgb="FF2C3E50"/>
        <bgColor rgb="FF34495E"/>
      </patternFill>
    </fill>
    <fill>
      <patternFill patternType="solid">
        <fgColor rgb="FF34495E"/>
        <bgColor rgb="FF2C3E50"/>
      </patternFill>
    </fill>
  </fills>
  <borders count="8">
    <border>
      <left/>
      <right/>
      <top/>
      <bottom/>
      <diagonal/>
    </border>
    <border>
      <left/>
      <right/>
      <top/>
      <bottom style="thin">
        <color auto="1"/>
      </bottom>
      <diagonal/>
    </border>
    <border>
      <left/>
      <right/>
      <top/>
      <bottom style="hair">
        <color auto="1"/>
      </bottom>
      <diagonal/>
    </border>
    <border>
      <left/>
      <right/>
      <top style="thin">
        <color auto="1"/>
      </top>
      <bottom style="thin">
        <color auto="1"/>
      </bottom>
      <diagonal/>
    </border>
    <border>
      <left/>
      <right/>
      <top style="thin">
        <color auto="1"/>
      </top>
      <bottom style="medium">
        <color auto="1"/>
      </bottom>
      <diagonal/>
    </border>
    <border>
      <left/>
      <right/>
      <top style="thin">
        <color auto="1"/>
      </top>
      <bottom style="double">
        <color auto="1"/>
      </bottom>
      <diagonal/>
    </border>
    <border>
      <left/>
      <right/>
      <top style="medium">
        <color auto="1"/>
      </top>
      <bottom style="medium">
        <color auto="1"/>
      </bottom>
      <diagonal/>
    </border>
    <border>
      <left style="thin">
        <color rgb="FFD5D8DC"/>
      </left>
      <right style="thin">
        <color rgb="FFD5D8DC"/>
      </right>
      <top style="thin">
        <color rgb="FFD5D8DC"/>
      </top>
      <bottom style="thin">
        <color rgb="FFD5D8DC"/>
      </bottom>
      <diagonal/>
    </border>
  </borders>
  <cellStyleXfs count="2">
    <xf numFmtId="0" fontId="0" fillId="0" borderId="0"/>
    <xf numFmtId="0" fontId="32" fillId="0" borderId="0"/>
  </cellStyleXfs>
  <cellXfs count="112">
    <xf numFmtId="0" fontId="0" fillId="0" borderId="0" xfId="0"/>
    <xf numFmtId="0" fontId="0" fillId="2"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3" borderId="0" xfId="0" applyFill="1"/>
    <xf numFmtId="0" fontId="27" fillId="5" borderId="0" xfId="0" applyFont="1" applyFill="1" applyAlignment="1">
      <alignment horizontal="left" vertical="center"/>
    </xf>
    <xf numFmtId="0" fontId="0" fillId="5" borderId="0" xfId="0" applyFill="1"/>
    <xf numFmtId="0" fontId="13" fillId="3" borderId="0" xfId="0" applyFont="1" applyFill="1" applyAlignment="1">
      <alignment horizontal="left" vertical="center" wrapText="1"/>
    </xf>
    <xf numFmtId="0" fontId="5" fillId="4" borderId="1" xfId="0" applyFont="1" applyFill="1" applyBorder="1" applyAlignment="1">
      <alignment horizontal="center" vertical="center"/>
    </xf>
    <xf numFmtId="0" fontId="28" fillId="5" borderId="0" xfId="0" applyFont="1" applyFill="1" applyAlignment="1">
      <alignment horizontal="left" vertical="center" indent="1"/>
    </xf>
    <xf numFmtId="38" fontId="29" fillId="5" borderId="0" xfId="0" applyNumberFormat="1" applyFont="1" applyFill="1" applyAlignment="1">
      <alignment horizontal="center" vertical="center"/>
    </xf>
    <xf numFmtId="164" fontId="8" fillId="5" borderId="0" xfId="0" applyNumberFormat="1" applyFont="1" applyFill="1" applyAlignment="1">
      <alignment horizontal="center" vertical="center"/>
    </xf>
    <xf numFmtId="0" fontId="28" fillId="3" borderId="0" xfId="0" applyFont="1" applyFill="1" applyAlignment="1">
      <alignment horizontal="left" vertical="center" indent="1"/>
    </xf>
    <xf numFmtId="38" fontId="29" fillId="3" borderId="0" xfId="0" applyNumberFormat="1" applyFont="1" applyFill="1" applyAlignment="1">
      <alignment horizontal="center" vertical="center"/>
    </xf>
    <xf numFmtId="164" fontId="8" fillId="3" borderId="0" xfId="0" applyNumberFormat="1" applyFont="1" applyFill="1" applyAlignment="1">
      <alignment horizontal="center" vertical="center"/>
    </xf>
    <xf numFmtId="164" fontId="29" fillId="5" borderId="0" xfId="0" applyNumberFormat="1" applyFont="1" applyFill="1" applyAlignment="1">
      <alignment horizontal="center" vertical="center"/>
    </xf>
    <xf numFmtId="0" fontId="8" fillId="5" borderId="0" xfId="0" applyFont="1" applyFill="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2" borderId="1" xfId="0" applyFont="1" applyFill="1" applyBorder="1" applyAlignment="1">
      <alignment horizontal="center" vertical="center"/>
    </xf>
    <xf numFmtId="0" fontId="5" fillId="4" borderId="0" xfId="0" applyFont="1" applyFill="1" applyAlignment="1">
      <alignment horizontal="left" vertical="center" indent="1"/>
    </xf>
    <xf numFmtId="0" fontId="6" fillId="3" borderId="2" xfId="0" applyFont="1" applyFill="1" applyBorder="1" applyAlignment="1">
      <alignment horizontal="left" vertical="center" indent="2"/>
    </xf>
    <xf numFmtId="38" fontId="7" fillId="3" borderId="2" xfId="0" applyNumberFormat="1" applyFont="1" applyFill="1" applyBorder="1" applyAlignment="1">
      <alignment horizontal="right" vertical="center"/>
    </xf>
    <xf numFmtId="0" fontId="8" fillId="3" borderId="2" xfId="0" applyFont="1" applyFill="1" applyBorder="1" applyAlignment="1">
      <alignment horizontal="center" vertical="center"/>
    </xf>
    <xf numFmtId="0" fontId="6" fillId="5" borderId="2" xfId="0" applyFont="1" applyFill="1" applyBorder="1" applyAlignment="1">
      <alignment horizontal="left" vertical="center" indent="2"/>
    </xf>
    <xf numFmtId="164" fontId="8" fillId="5" borderId="2" xfId="0" applyNumberFormat="1" applyFont="1" applyFill="1" applyBorder="1" applyAlignment="1">
      <alignment horizontal="center" vertical="center"/>
    </xf>
    <xf numFmtId="164" fontId="7" fillId="5" borderId="2" xfId="0" applyNumberFormat="1" applyFont="1" applyFill="1" applyBorder="1" applyAlignment="1">
      <alignment horizontal="right" vertical="center"/>
    </xf>
    <xf numFmtId="164" fontId="7" fillId="3" borderId="2" xfId="0" applyNumberFormat="1" applyFont="1" applyFill="1" applyBorder="1" applyAlignment="1">
      <alignment horizontal="right" vertical="center"/>
    </xf>
    <xf numFmtId="164" fontId="9" fillId="5" borderId="2" xfId="0" applyNumberFormat="1" applyFont="1" applyFill="1" applyBorder="1" applyAlignment="1">
      <alignment horizontal="right" vertical="center"/>
    </xf>
    <xf numFmtId="38" fontId="7" fillId="5" borderId="2" xfId="0" applyNumberFormat="1" applyFont="1" applyFill="1" applyBorder="1" applyAlignment="1">
      <alignment horizontal="right" vertical="center"/>
    </xf>
    <xf numFmtId="38" fontId="9" fillId="3" borderId="2" xfId="0" applyNumberFormat="1" applyFont="1" applyFill="1" applyBorder="1" applyAlignment="1">
      <alignment horizontal="right" vertical="center"/>
    </xf>
    <xf numFmtId="3" fontId="7" fillId="3" borderId="2" xfId="0" applyNumberFormat="1" applyFont="1" applyFill="1" applyBorder="1" applyAlignment="1">
      <alignment horizontal="right" vertical="center"/>
    </xf>
    <xf numFmtId="3" fontId="7" fillId="5" borderId="2" xfId="0" applyNumberFormat="1" applyFont="1" applyFill="1" applyBorder="1" applyAlignment="1">
      <alignment horizontal="right" vertical="center"/>
    </xf>
    <xf numFmtId="0" fontId="8" fillId="5" borderId="2" xfId="0" applyFont="1" applyFill="1" applyBorder="1" applyAlignment="1">
      <alignment horizontal="center" vertical="center"/>
    </xf>
    <xf numFmtId="0" fontId="10" fillId="0" borderId="0" xfId="0" applyFont="1" applyAlignment="1">
      <alignment horizontal="left" vertical="center" wrapText="1"/>
    </xf>
    <xf numFmtId="0" fontId="6" fillId="5" borderId="2" xfId="0" applyFont="1" applyFill="1" applyBorder="1" applyAlignment="1">
      <alignment horizontal="left" vertical="center" indent="3"/>
    </xf>
    <xf numFmtId="38" fontId="9" fillId="5" borderId="2" xfId="0" applyNumberFormat="1" applyFont="1" applyFill="1" applyBorder="1" applyAlignment="1">
      <alignment horizontal="right" vertical="center"/>
    </xf>
    <xf numFmtId="0" fontId="6" fillId="3" borderId="2" xfId="0" applyFont="1" applyFill="1" applyBorder="1" applyAlignment="1">
      <alignment horizontal="left" vertical="center" indent="3"/>
    </xf>
    <xf numFmtId="0" fontId="11" fillId="6" borderId="3" xfId="0" applyFont="1" applyFill="1" applyBorder="1" applyAlignment="1">
      <alignment horizontal="left" vertical="center" indent="1"/>
    </xf>
    <xf numFmtId="38" fontId="11" fillId="6" borderId="3" xfId="0" applyNumberFormat="1" applyFont="1" applyFill="1" applyBorder="1" applyAlignment="1">
      <alignment horizontal="right" vertical="center"/>
    </xf>
    <xf numFmtId="0" fontId="0" fillId="6" borderId="0" xfId="0" applyFill="1"/>
    <xf numFmtId="0" fontId="3" fillId="5" borderId="0" xfId="0" applyFont="1" applyFill="1" applyAlignment="1">
      <alignment horizontal="left" vertical="center" indent="2"/>
    </xf>
    <xf numFmtId="164" fontId="3" fillId="5" borderId="0" xfId="0" applyNumberFormat="1" applyFont="1" applyFill="1" applyAlignment="1">
      <alignment horizontal="right" vertical="center"/>
    </xf>
    <xf numFmtId="164" fontId="12" fillId="5" borderId="0" xfId="0" applyNumberFormat="1" applyFont="1" applyFill="1" applyAlignment="1">
      <alignment horizontal="right" vertical="center"/>
    </xf>
    <xf numFmtId="0" fontId="13" fillId="7" borderId="4" xfId="0" applyFont="1" applyFill="1" applyBorder="1" applyAlignment="1">
      <alignment horizontal="left" vertical="center"/>
    </xf>
    <xf numFmtId="38" fontId="13" fillId="7" borderId="4" xfId="0" applyNumberFormat="1" applyFont="1" applyFill="1" applyBorder="1" applyAlignment="1">
      <alignment horizontal="right" vertical="center"/>
    </xf>
    <xf numFmtId="0" fontId="0" fillId="7" borderId="0" xfId="0" applyFill="1"/>
    <xf numFmtId="38" fontId="14" fillId="3" borderId="2" xfId="0" applyNumberFormat="1" applyFont="1" applyFill="1" applyBorder="1" applyAlignment="1">
      <alignment horizontal="right" vertical="center"/>
    </xf>
    <xf numFmtId="38" fontId="14" fillId="5" borderId="2" xfId="0" applyNumberFormat="1" applyFont="1" applyFill="1" applyBorder="1" applyAlignment="1">
      <alignment horizontal="right" vertical="center"/>
    </xf>
    <xf numFmtId="0" fontId="13" fillId="7" borderId="5" xfId="0" applyFont="1" applyFill="1" applyBorder="1" applyAlignment="1">
      <alignment horizontal="left" vertical="center"/>
    </xf>
    <xf numFmtId="38" fontId="13" fillId="7" borderId="5" xfId="0" applyNumberFormat="1" applyFont="1" applyFill="1" applyBorder="1" applyAlignment="1">
      <alignment horizontal="right" vertical="center"/>
    </xf>
    <xf numFmtId="0" fontId="5" fillId="8" borderId="0" xfId="0" applyFont="1" applyFill="1" applyAlignment="1">
      <alignment horizontal="left" vertical="center" indent="1"/>
    </xf>
    <xf numFmtId="0" fontId="4" fillId="2" borderId="0" xfId="0" applyFont="1" applyFill="1" applyAlignment="1">
      <alignment horizontal="left" vertical="center" indent="1"/>
    </xf>
    <xf numFmtId="0" fontId="15" fillId="9" borderId="0" xfId="0" applyFont="1" applyFill="1" applyAlignment="1">
      <alignment horizontal="left" vertical="center" indent="2"/>
    </xf>
    <xf numFmtId="38" fontId="15" fillId="9" borderId="0" xfId="0" applyNumberFormat="1" applyFont="1" applyFill="1" applyAlignment="1">
      <alignment horizontal="right" vertical="center"/>
    </xf>
    <xf numFmtId="0" fontId="0" fillId="9" borderId="0" xfId="0" applyFill="1"/>
    <xf numFmtId="0" fontId="16" fillId="8" borderId="0" xfId="0" applyFont="1" applyFill="1" applyAlignment="1">
      <alignment horizontal="left" vertical="center" indent="1"/>
    </xf>
    <xf numFmtId="0" fontId="6" fillId="3" borderId="0" xfId="0" applyFont="1" applyFill="1" applyAlignment="1">
      <alignment horizontal="left" vertical="center" indent="2"/>
    </xf>
    <xf numFmtId="165" fontId="9" fillId="3" borderId="0" xfId="0" applyNumberFormat="1" applyFont="1" applyFill="1" applyAlignment="1">
      <alignment horizontal="right" vertical="center"/>
    </xf>
    <xf numFmtId="0" fontId="10" fillId="3" borderId="0" xfId="0" applyFont="1" applyFill="1" applyAlignment="1">
      <alignment horizontal="left" vertical="center" wrapText="1" indent="1"/>
    </xf>
    <xf numFmtId="0" fontId="6" fillId="5" borderId="0" xfId="0" applyFont="1" applyFill="1" applyAlignment="1">
      <alignment horizontal="left" vertical="center" indent="2"/>
    </xf>
    <xf numFmtId="165" fontId="9" fillId="5" borderId="0" xfId="0" applyNumberFormat="1" applyFont="1" applyFill="1" applyAlignment="1">
      <alignment horizontal="right" vertical="center"/>
    </xf>
    <xf numFmtId="0" fontId="10" fillId="5" borderId="0" xfId="0" applyFont="1" applyFill="1" applyAlignment="1">
      <alignment horizontal="left" vertical="center" wrapText="1" indent="1"/>
    </xf>
    <xf numFmtId="164" fontId="9" fillId="3" borderId="0" xfId="0" applyNumberFormat="1" applyFont="1" applyFill="1" applyAlignment="1">
      <alignment horizontal="right" vertical="center"/>
    </xf>
    <xf numFmtId="164" fontId="9" fillId="5" borderId="0" xfId="0" applyNumberFormat="1" applyFont="1" applyFill="1" applyAlignment="1">
      <alignment horizontal="right" vertical="center"/>
    </xf>
    <xf numFmtId="0" fontId="17" fillId="5" borderId="0" xfId="0" applyFont="1" applyFill="1" applyAlignment="1">
      <alignment horizontal="left" vertical="center" indent="2"/>
    </xf>
    <xf numFmtId="164" fontId="18" fillId="5" borderId="0" xfId="0" applyNumberFormat="1" applyFont="1" applyFill="1" applyAlignment="1">
      <alignment horizontal="right" vertical="center"/>
    </xf>
    <xf numFmtId="3" fontId="9" fillId="5" borderId="0" xfId="0" applyNumberFormat="1" applyFont="1" applyFill="1" applyAlignment="1">
      <alignment horizontal="right" vertical="center"/>
    </xf>
    <xf numFmtId="3" fontId="9" fillId="3" borderId="0" xfId="0" applyNumberFormat="1" applyFont="1" applyFill="1" applyAlignment="1">
      <alignment horizontal="right" vertical="center"/>
    </xf>
    <xf numFmtId="38" fontId="9" fillId="3" borderId="0" xfId="0" applyNumberFormat="1" applyFont="1" applyFill="1" applyAlignment="1">
      <alignment horizontal="right" vertical="center"/>
    </xf>
    <xf numFmtId="38" fontId="9" fillId="5" borderId="0" xfId="0" applyNumberFormat="1" applyFont="1" applyFill="1" applyAlignment="1">
      <alignment horizontal="right" vertical="center"/>
    </xf>
    <xf numFmtId="0" fontId="21" fillId="2" borderId="0" xfId="0" applyFont="1" applyFill="1" applyAlignment="1">
      <alignment horizontal="center" vertical="center"/>
    </xf>
    <xf numFmtId="0" fontId="0" fillId="0" borderId="0" xfId="0"/>
    <xf numFmtId="38" fontId="24" fillId="12" borderId="0" xfId="0" applyNumberFormat="1"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3" fillId="12" borderId="0" xfId="0" applyFont="1" applyFill="1" applyAlignment="1">
      <alignment horizontal="center" vertical="center"/>
    </xf>
    <xf numFmtId="0" fontId="23" fillId="11" borderId="0" xfId="0" applyFont="1" applyFill="1" applyAlignment="1">
      <alignment horizontal="center" vertical="center"/>
    </xf>
    <xf numFmtId="164" fontId="25" fillId="13" borderId="0" xfId="0" applyNumberFormat="1" applyFont="1" applyFill="1" applyAlignment="1">
      <alignment horizontal="center" vertical="center"/>
    </xf>
    <xf numFmtId="0" fontId="23" fillId="13" borderId="0" xfId="0" applyFont="1" applyFill="1" applyAlignment="1">
      <alignment horizontal="center" vertical="center"/>
    </xf>
    <xf numFmtId="0" fontId="4" fillId="2" borderId="6" xfId="0" applyFont="1" applyFill="1" applyBorder="1" applyAlignment="1">
      <alignment horizontal="center" vertical="center"/>
    </xf>
    <xf numFmtId="0" fontId="26" fillId="0" borderId="6" xfId="0" applyFont="1" applyBorder="1" applyAlignment="1">
      <alignment horizontal="left" vertical="center"/>
    </xf>
    <xf numFmtId="0" fontId="31" fillId="0" borderId="0" xfId="0" applyFont="1" applyAlignment="1">
      <alignment horizontal="left" vertical="center"/>
    </xf>
    <xf numFmtId="0" fontId="30" fillId="0" borderId="0" xfId="0" applyFont="1" applyAlignment="1">
      <alignment horizontal="left"/>
    </xf>
    <xf numFmtId="38" fontId="22" fillId="11" borderId="0" xfId="0" applyNumberFormat="1" applyFont="1" applyFill="1" applyAlignment="1">
      <alignment horizontal="center" vertical="center"/>
    </xf>
    <xf numFmtId="0" fontId="32" fillId="0" borderId="0" xfId="1"/>
    <xf numFmtId="0" fontId="33" fillId="14" borderId="0" xfId="1" applyFont="1" applyFill="1" applyAlignment="1">
      <alignment horizontal="left" vertical="center" wrapText="1" indent="1"/>
    </xf>
    <xf numFmtId="0" fontId="32" fillId="15" borderId="0" xfId="1" applyFill="1"/>
    <xf numFmtId="0" fontId="34" fillId="16" borderId="7" xfId="1" applyFont="1" applyFill="1" applyBorder="1" applyAlignment="1">
      <alignment horizontal="left" vertical="center" wrapText="1"/>
    </xf>
    <xf numFmtId="0" fontId="35" fillId="16" borderId="7" xfId="1" applyFont="1" applyFill="1" applyBorder="1" applyAlignment="1">
      <alignment horizontal="left" vertical="center"/>
    </xf>
    <xf numFmtId="0" fontId="34" fillId="15" borderId="7" xfId="1" applyFont="1" applyFill="1" applyBorder="1" applyAlignment="1">
      <alignment horizontal="left" vertical="center" wrapText="1"/>
    </xf>
    <xf numFmtId="0" fontId="35" fillId="15" borderId="7" xfId="1" applyFont="1" applyFill="1" applyBorder="1" applyAlignment="1">
      <alignment horizontal="left" vertical="center"/>
    </xf>
    <xf numFmtId="0" fontId="36" fillId="17" borderId="0" xfId="1" applyFont="1" applyFill="1" applyAlignment="1">
      <alignment horizontal="left" vertical="center"/>
    </xf>
    <xf numFmtId="0" fontId="34" fillId="15" borderId="7" xfId="1" applyFont="1" applyFill="1" applyBorder="1" applyAlignment="1">
      <alignment horizontal="left" vertical="center" wrapText="1" indent="1"/>
    </xf>
    <xf numFmtId="0" fontId="35" fillId="16" borderId="7" xfId="1" applyFont="1" applyFill="1" applyBorder="1" applyAlignment="1">
      <alignment horizontal="left" vertical="center" wrapText="1" indent="1"/>
    </xf>
    <xf numFmtId="0" fontId="34" fillId="16" borderId="7" xfId="1" applyFont="1" applyFill="1" applyBorder="1" applyAlignment="1">
      <alignment horizontal="left" vertical="center" wrapText="1" indent="1"/>
    </xf>
    <xf numFmtId="0" fontId="37" fillId="17" borderId="7" xfId="1" applyFont="1" applyFill="1" applyBorder="1" applyAlignment="1">
      <alignment horizontal="left" vertical="center" indent="1"/>
    </xf>
    <xf numFmtId="0" fontId="37" fillId="17" borderId="7" xfId="1" applyFont="1" applyFill="1" applyBorder="1" applyAlignment="1">
      <alignment horizontal="left" vertical="center" indent="1"/>
    </xf>
    <xf numFmtId="0" fontId="34" fillId="15" borderId="7" xfId="1" applyFont="1" applyFill="1" applyBorder="1" applyAlignment="1">
      <alignment horizontal="center" vertical="center"/>
    </xf>
    <xf numFmtId="0" fontId="34" fillId="15" borderId="7" xfId="1" applyFont="1" applyFill="1" applyBorder="1" applyAlignment="1">
      <alignment horizontal="left" vertical="center" wrapText="1"/>
    </xf>
    <xf numFmtId="0" fontId="34" fillId="16" borderId="7" xfId="1" applyFont="1" applyFill="1" applyBorder="1" applyAlignment="1">
      <alignment horizontal="center" vertical="center"/>
    </xf>
    <xf numFmtId="0" fontId="38" fillId="16" borderId="7" xfId="1" applyFont="1" applyFill="1" applyBorder="1" applyAlignment="1">
      <alignment horizontal="center" vertical="center"/>
    </xf>
    <xf numFmtId="0" fontId="34" fillId="16" borderId="7" xfId="1" applyFont="1" applyFill="1" applyBorder="1" applyAlignment="1">
      <alignment horizontal="left" vertical="center" wrapText="1"/>
    </xf>
    <xf numFmtId="0" fontId="38" fillId="15" borderId="7" xfId="1" applyFont="1" applyFill="1" applyBorder="1" applyAlignment="1">
      <alignment horizontal="center" vertical="center"/>
    </xf>
    <xf numFmtId="0" fontId="37" fillId="18" borderId="7" xfId="1" applyFont="1" applyFill="1" applyBorder="1" applyAlignment="1">
      <alignment horizontal="center" vertical="center"/>
    </xf>
    <xf numFmtId="0" fontId="39" fillId="19" borderId="0" xfId="1" applyFont="1" applyFill="1" applyAlignment="1">
      <alignment horizontal="center" vertical="center"/>
    </xf>
    <xf numFmtId="0" fontId="40" fillId="18" borderId="0" xfId="1" applyFont="1" applyFill="1" applyAlignment="1">
      <alignment horizontal="center" vertical="center"/>
    </xf>
    <xf numFmtId="17" fontId="34" fillId="15" borderId="7" xfId="1" applyNumberFormat="1" applyFont="1" applyFill="1" applyBorder="1" applyAlignment="1">
      <alignment horizontal="center" vertical="center"/>
    </xf>
    <xf numFmtId="17" fontId="34" fillId="16" borderId="7" xfId="1" applyNumberFormat="1" applyFont="1" applyFill="1" applyBorder="1" applyAlignment="1">
      <alignment horizontal="center" vertical="center"/>
    </xf>
  </cellXfs>
  <cellStyles count="2">
    <cellStyle name="Normal" xfId="0" builtinId="0"/>
    <cellStyle name="Normal 2" xfId="1" xr:uid="{A2A74C10-2E6D-4430-911B-FCFF9DA3EC4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2342"/>
  </sheetPr>
  <dimension ref="A1:I39"/>
  <sheetViews>
    <sheetView showGridLines="0" tabSelected="1" workbookViewId="0"/>
  </sheetViews>
  <sheetFormatPr defaultRowHeight="14.4" x14ac:dyDescent="0.3"/>
  <cols>
    <col min="1" max="1" width="3" customWidth="1"/>
    <col min="2" max="2" width="22" customWidth="1"/>
    <col min="3" max="7" width="13" customWidth="1"/>
    <col min="8" max="8" width="16.109375" customWidth="1"/>
    <col min="9" max="9" width="3" customWidth="1"/>
  </cols>
  <sheetData>
    <row r="1" spans="1:9" ht="13.95" customHeight="1" x14ac:dyDescent="0.3">
      <c r="A1" s="1"/>
      <c r="B1" s="1"/>
      <c r="C1" s="1"/>
      <c r="D1" s="1"/>
      <c r="E1" s="1"/>
      <c r="F1" s="1"/>
      <c r="G1" s="1"/>
      <c r="H1" s="1"/>
      <c r="I1" s="1"/>
    </row>
    <row r="2" spans="1:9" ht="25.95" customHeight="1" x14ac:dyDescent="0.3">
      <c r="A2" s="1"/>
      <c r="B2" s="77" t="s">
        <v>0</v>
      </c>
      <c r="C2" s="75"/>
      <c r="D2" s="75"/>
      <c r="E2" s="75"/>
      <c r="F2" s="75"/>
      <c r="G2" s="75"/>
      <c r="H2" s="75"/>
      <c r="I2" s="1"/>
    </row>
    <row r="3" spans="1:9" ht="25.95" customHeight="1" x14ac:dyDescent="0.3">
      <c r="A3" s="1"/>
      <c r="B3" s="78" t="s">
        <v>1</v>
      </c>
      <c r="C3" s="75"/>
      <c r="D3" s="75"/>
      <c r="E3" s="75"/>
      <c r="F3" s="75"/>
      <c r="G3" s="75"/>
      <c r="H3" s="75"/>
      <c r="I3" s="1"/>
    </row>
    <row r="4" spans="1:9" ht="25.95" customHeight="1" x14ac:dyDescent="0.3">
      <c r="A4" s="1"/>
      <c r="B4" s="74" t="s">
        <v>2</v>
      </c>
      <c r="C4" s="75"/>
      <c r="D4" s="75"/>
      <c r="E4" s="75"/>
      <c r="F4" s="75"/>
      <c r="G4" s="75"/>
      <c r="H4" s="75"/>
      <c r="I4" s="1"/>
    </row>
    <row r="5" spans="1:9" ht="13.95" customHeight="1" x14ac:dyDescent="0.3">
      <c r="A5" s="1"/>
      <c r="B5" s="1"/>
      <c r="C5" s="1"/>
      <c r="D5" s="1"/>
      <c r="E5" s="1"/>
      <c r="F5" s="1"/>
      <c r="G5" s="1"/>
      <c r="H5" s="1"/>
      <c r="I5" s="1"/>
    </row>
    <row r="6" spans="1:9" ht="13.95" customHeight="1" x14ac:dyDescent="0.3">
      <c r="A6" s="1"/>
      <c r="B6" s="1"/>
      <c r="C6" s="1"/>
      <c r="D6" s="1"/>
      <c r="E6" s="1"/>
      <c r="F6" s="1"/>
      <c r="G6" s="1"/>
      <c r="H6" s="1"/>
      <c r="I6" s="1"/>
    </row>
    <row r="7" spans="1:9" ht="4.05" customHeight="1" x14ac:dyDescent="0.3">
      <c r="A7" s="2"/>
      <c r="B7" s="2"/>
      <c r="C7" s="2"/>
      <c r="D7" s="2"/>
      <c r="E7" s="2"/>
      <c r="F7" s="2"/>
      <c r="G7" s="2"/>
      <c r="H7" s="2"/>
      <c r="I7" s="2"/>
    </row>
    <row r="8" spans="1:9" ht="6" customHeight="1" x14ac:dyDescent="0.3">
      <c r="B8" s="3"/>
      <c r="C8" s="3"/>
      <c r="D8" s="4"/>
      <c r="E8" s="4"/>
      <c r="F8" s="5"/>
      <c r="G8" s="5"/>
    </row>
    <row r="9" spans="1:9" ht="36" customHeight="1" x14ac:dyDescent="0.3">
      <c r="B9" s="87">
        <f>'Income Statement'!F12</f>
        <v>4159792.0025999998</v>
      </c>
      <c r="C9" s="75"/>
      <c r="D9" s="76">
        <f>'Income Statement'!F42</f>
        <v>1230591.7789764032</v>
      </c>
      <c r="E9" s="75"/>
      <c r="F9" s="81">
        <f>'Income Statement'!F43</f>
        <v>0.29583012280595877</v>
      </c>
      <c r="G9" s="75"/>
    </row>
    <row r="10" spans="1:9" ht="22.05" customHeight="1" x14ac:dyDescent="0.3">
      <c r="B10" s="80" t="s">
        <v>3</v>
      </c>
      <c r="C10" s="75"/>
      <c r="D10" s="79" t="s">
        <v>4</v>
      </c>
      <c r="E10" s="75"/>
      <c r="F10" s="82" t="s">
        <v>5</v>
      </c>
      <c r="G10" s="75"/>
    </row>
    <row r="11" spans="1:9" ht="13.95" customHeight="1" x14ac:dyDescent="0.3">
      <c r="B11" s="3"/>
      <c r="C11" s="3"/>
      <c r="D11" s="4"/>
      <c r="E11" s="4"/>
      <c r="F11" s="5"/>
      <c r="G11" s="5"/>
    </row>
    <row r="12" spans="1:9" ht="10.050000000000001" customHeight="1" x14ac:dyDescent="0.3">
      <c r="B12" s="3"/>
      <c r="C12" s="3"/>
      <c r="D12" s="4"/>
      <c r="E12" s="4"/>
      <c r="F12" s="5"/>
      <c r="G12" s="5"/>
    </row>
    <row r="13" spans="1:9" ht="10.050000000000001" customHeight="1" x14ac:dyDescent="0.3">
      <c r="A13" s="6"/>
      <c r="B13" s="6"/>
      <c r="C13" s="6"/>
      <c r="D13" s="6"/>
      <c r="E13" s="6"/>
      <c r="F13" s="6"/>
      <c r="G13" s="6"/>
      <c r="H13" s="6"/>
      <c r="I13" s="6"/>
    </row>
    <row r="14" spans="1:9" ht="7.95" customHeight="1" x14ac:dyDescent="0.3"/>
    <row r="15" spans="1:9" ht="13.95" customHeight="1" x14ac:dyDescent="0.3">
      <c r="B15" s="84" t="s">
        <v>6</v>
      </c>
      <c r="C15" s="75"/>
      <c r="D15" s="75"/>
      <c r="E15" s="75"/>
      <c r="F15" s="75"/>
      <c r="G15" s="75"/>
      <c r="H15" s="75"/>
    </row>
    <row r="16" spans="1:9" ht="13.05" customHeight="1" x14ac:dyDescent="0.3">
      <c r="B16" s="7" t="s">
        <v>7</v>
      </c>
      <c r="C16" s="8"/>
      <c r="D16" s="8"/>
      <c r="E16" s="7" t="s">
        <v>8</v>
      </c>
      <c r="F16" s="8"/>
      <c r="G16" s="8"/>
      <c r="H16" s="8"/>
    </row>
    <row r="17" spans="2:8" ht="41.4" x14ac:dyDescent="0.3">
      <c r="B17" s="9" t="s">
        <v>9</v>
      </c>
      <c r="C17" s="6"/>
      <c r="D17" s="6"/>
      <c r="E17" s="9" t="s">
        <v>10</v>
      </c>
      <c r="F17" s="6"/>
      <c r="G17" s="6"/>
      <c r="H17" s="6"/>
    </row>
    <row r="18" spans="2:8" ht="13.05" customHeight="1" x14ac:dyDescent="0.3">
      <c r="B18" s="7" t="s">
        <v>11</v>
      </c>
      <c r="C18" s="8"/>
      <c r="D18" s="8"/>
      <c r="E18" s="7" t="s">
        <v>12</v>
      </c>
      <c r="F18" s="8"/>
      <c r="G18" s="8"/>
      <c r="H18" s="8"/>
    </row>
    <row r="19" spans="2:8" ht="41.4" x14ac:dyDescent="0.3">
      <c r="B19" s="9" t="s">
        <v>13</v>
      </c>
      <c r="C19" s="6"/>
      <c r="D19" s="6"/>
      <c r="E19" s="9" t="s">
        <v>14</v>
      </c>
      <c r="F19" s="6"/>
      <c r="G19" s="6"/>
      <c r="H19" s="6"/>
    </row>
    <row r="20" spans="2:8" ht="13.05" customHeight="1" x14ac:dyDescent="0.3">
      <c r="B20" s="7" t="s">
        <v>15</v>
      </c>
      <c r="C20" s="8"/>
      <c r="D20" s="8"/>
      <c r="E20" s="7" t="s">
        <v>16</v>
      </c>
      <c r="F20" s="8"/>
      <c r="G20" s="8"/>
      <c r="H20" s="8"/>
    </row>
    <row r="21" spans="2:8" ht="41.4" x14ac:dyDescent="0.3">
      <c r="B21" s="9" t="s">
        <v>17</v>
      </c>
      <c r="C21" s="6"/>
      <c r="D21" s="6"/>
      <c r="E21" s="9" t="s">
        <v>18</v>
      </c>
      <c r="F21" s="6"/>
      <c r="G21" s="6"/>
      <c r="H21" s="6"/>
    </row>
    <row r="22" spans="2:8" ht="13.05" customHeight="1" x14ac:dyDescent="0.3">
      <c r="B22" s="7" t="s">
        <v>19</v>
      </c>
      <c r="C22" s="8"/>
      <c r="D22" s="8"/>
      <c r="E22" s="7" t="s">
        <v>20</v>
      </c>
      <c r="F22" s="8"/>
      <c r="G22" s="8"/>
      <c r="H22" s="8"/>
    </row>
    <row r="23" spans="2:8" ht="82.8" x14ac:dyDescent="0.3">
      <c r="B23" s="9" t="s">
        <v>21</v>
      </c>
      <c r="C23" s="6"/>
      <c r="D23" s="6"/>
      <c r="E23" s="9" t="s">
        <v>22</v>
      </c>
      <c r="F23" s="6"/>
      <c r="G23" s="6"/>
      <c r="H23" s="6"/>
    </row>
    <row r="25" spans="2:8" ht="7.95" customHeight="1" x14ac:dyDescent="0.3"/>
    <row r="26" spans="2:8" ht="13.95" customHeight="1" x14ac:dyDescent="0.3">
      <c r="B26" s="83" t="s">
        <v>23</v>
      </c>
      <c r="C26" s="75"/>
      <c r="D26" s="75"/>
      <c r="E26" s="75"/>
      <c r="F26" s="75"/>
      <c r="G26" s="75"/>
      <c r="H26" s="75"/>
    </row>
    <row r="27" spans="2:8" ht="22.05" customHeight="1" x14ac:dyDescent="0.3">
      <c r="B27" s="10" t="s">
        <v>24</v>
      </c>
      <c r="C27" s="10" t="s">
        <v>25</v>
      </c>
      <c r="D27" s="10" t="s">
        <v>26</v>
      </c>
      <c r="E27" s="10" t="s">
        <v>27</v>
      </c>
      <c r="F27" s="10" t="s">
        <v>28</v>
      </c>
      <c r="G27" s="10" t="s">
        <v>29</v>
      </c>
      <c r="H27" s="10" t="s">
        <v>30</v>
      </c>
    </row>
    <row r="28" spans="2:8" ht="16.05" customHeight="1" x14ac:dyDescent="0.3">
      <c r="B28" s="11" t="s">
        <v>31</v>
      </c>
      <c r="C28" s="12">
        <f>'Income Statement'!B12</f>
        <v>1200000</v>
      </c>
      <c r="D28" s="12">
        <f>'Income Statement'!C12</f>
        <v>1800000</v>
      </c>
      <c r="E28" s="12">
        <f>'Income Statement'!D12</f>
        <v>2399940</v>
      </c>
      <c r="F28" s="12">
        <f>'Income Statement'!E12</f>
        <v>3199840.0019999999</v>
      </c>
      <c r="G28" s="12">
        <f>'Income Statement'!F12</f>
        <v>4159792.0025999998</v>
      </c>
      <c r="H28" s="13">
        <f>('Income Statement'!F12/MAX('Income Statement'!B12,1))^(1/4)-1</f>
        <v>0.36449702272878293</v>
      </c>
    </row>
    <row r="29" spans="2:8" ht="16.05" customHeight="1" x14ac:dyDescent="0.3">
      <c r="B29" s="14" t="s">
        <v>32</v>
      </c>
      <c r="C29" s="15">
        <f>'Income Statement'!B18</f>
        <v>912000</v>
      </c>
      <c r="D29" s="15">
        <f>'Income Statement'!C18</f>
        <v>1440000</v>
      </c>
      <c r="E29" s="15">
        <f>'Income Statement'!D18</f>
        <v>1919952</v>
      </c>
      <c r="F29" s="15">
        <f>'Income Statement'!E18</f>
        <v>2559872.0016000001</v>
      </c>
      <c r="G29" s="15">
        <f>'Income Statement'!F18</f>
        <v>3327833.6020800001</v>
      </c>
      <c r="H29" s="16">
        <f>('Income Statement'!F18/MAX('Income Statement'!B18,1))^(1/4)-1</f>
        <v>0.38210707800458898</v>
      </c>
    </row>
    <row r="30" spans="2:8" ht="16.05" customHeight="1" x14ac:dyDescent="0.3">
      <c r="B30" s="11" t="s">
        <v>33</v>
      </c>
      <c r="C30" s="17">
        <f>'Income Statement'!B19</f>
        <v>0.76</v>
      </c>
      <c r="D30" s="17">
        <f>'Income Statement'!C19</f>
        <v>0.8</v>
      </c>
      <c r="E30" s="17" t="s">
        <v>245</v>
      </c>
      <c r="F30" s="17">
        <f>'Income Statement'!E19</f>
        <v>0.8</v>
      </c>
      <c r="G30" s="17">
        <f>'Income Statement'!F19</f>
        <v>0.8</v>
      </c>
      <c r="H30" s="18" t="s">
        <v>34</v>
      </c>
    </row>
    <row r="31" spans="2:8" ht="16.05" customHeight="1" x14ac:dyDescent="0.3">
      <c r="B31" s="14" t="s">
        <v>35</v>
      </c>
      <c r="C31" s="15">
        <f>'Income Statement'!B28</f>
        <v>12000</v>
      </c>
      <c r="D31" s="15">
        <f>'Income Statement'!C28</f>
        <v>414000</v>
      </c>
      <c r="E31" s="15">
        <f>'Income Statement'!D28</f>
        <v>695982.60000000009</v>
      </c>
      <c r="F31" s="15">
        <f>'Income Statement'!E28</f>
        <v>1055947.2006600001</v>
      </c>
      <c r="G31" s="15">
        <f>'Income Statement'!F28</f>
        <v>1414329.2808840002</v>
      </c>
      <c r="H31" s="16">
        <f>('Income Statement'!F28/MAX('Income Statement'!B28,1))^(1/4)-1</f>
        <v>2.2949006322495893</v>
      </c>
    </row>
    <row r="32" spans="2:8" ht="16.05" customHeight="1" x14ac:dyDescent="0.3">
      <c r="B32" s="11" t="s">
        <v>36</v>
      </c>
      <c r="C32" s="17">
        <f>'Income Statement'!B29</f>
        <v>0.01</v>
      </c>
      <c r="D32" s="17">
        <f>'Income Statement'!C29</f>
        <v>0.23</v>
      </c>
      <c r="E32" s="17">
        <f>'Income Statement'!D29</f>
        <v>0.29000000000000004</v>
      </c>
      <c r="F32" s="17">
        <f>'Income Statement'!E29</f>
        <v>0.33</v>
      </c>
      <c r="G32" s="17">
        <f>'Income Statement'!F29</f>
        <v>0.34000000000000008</v>
      </c>
      <c r="H32" s="18" t="s">
        <v>34</v>
      </c>
    </row>
    <row r="33" spans="2:8" ht="16.05" customHeight="1" x14ac:dyDescent="0.3">
      <c r="B33" s="14" t="s">
        <v>37</v>
      </c>
      <c r="C33" s="15">
        <f>'Income Statement'!B42</f>
        <v>2400</v>
      </c>
      <c r="D33" s="15">
        <f>'Income Statement'!C42</f>
        <v>400506.67643835617</v>
      </c>
      <c r="E33" s="15">
        <f>'Income Statement'!D42</f>
        <v>677848.52953189926</v>
      </c>
      <c r="F33" s="15">
        <f>'Income Statement'!E42</f>
        <v>954041.49581394729</v>
      </c>
      <c r="G33" s="15">
        <f>'Income Statement'!F42</f>
        <v>1230591.7789764032</v>
      </c>
      <c r="H33" s="16">
        <f>('Income Statement'!F42/MAX('Income Statement'!B42,1))^(1/4)-1</f>
        <v>3.7585615591008938</v>
      </c>
    </row>
    <row r="34" spans="2:8" ht="16.05" customHeight="1" x14ac:dyDescent="0.3">
      <c r="B34" s="11" t="s">
        <v>38</v>
      </c>
      <c r="C34" s="17">
        <f>'Income Statement'!B43</f>
        <v>2E-3</v>
      </c>
      <c r="D34" s="17">
        <f>'Income Statement'!C43</f>
        <v>0.2225037091324201</v>
      </c>
      <c r="E34" s="17">
        <f>'Income Statement'!D43</f>
        <v>0.2824439484036681</v>
      </c>
      <c r="F34" s="17">
        <f>'Income Statement'!E43</f>
        <v>0.29815287489925796</v>
      </c>
      <c r="G34" s="17">
        <f>'Income Statement'!F43</f>
        <v>0.29583012280595877</v>
      </c>
      <c r="H34" s="18" t="s">
        <v>34</v>
      </c>
    </row>
    <row r="35" spans="2:8" ht="16.05" customHeight="1" x14ac:dyDescent="0.3">
      <c r="B35" s="14" t="s">
        <v>39</v>
      </c>
      <c r="C35" s="15">
        <f>'Cash Flow'!B19</f>
        <v>76441.095890410958</v>
      </c>
      <c r="D35" s="15">
        <f>'Cash Flow'!C19</f>
        <v>463609.41616438353</v>
      </c>
      <c r="E35" s="15">
        <f>'Cash Flow'!D19</f>
        <v>750891.56994285807</v>
      </c>
      <c r="F35" s="15">
        <f>'Cash Flow'!E19</f>
        <v>1049430.5815938788</v>
      </c>
      <c r="G35" s="15">
        <f>'Cash Flow'!F19</f>
        <v>1345064.5675186019</v>
      </c>
      <c r="H35" s="16">
        <f>('Cash Flow'!F19/MAX('Cash Flow'!B19,1))^(1/4)-1</f>
        <v>1.0481136732402803</v>
      </c>
    </row>
    <row r="36" spans="2:8" ht="16.05" customHeight="1" x14ac:dyDescent="0.3">
      <c r="B36" s="11" t="s">
        <v>40</v>
      </c>
      <c r="C36" s="12">
        <f>'Cash Flow'!B46</f>
        <v>445.09589041095751</v>
      </c>
      <c r="D36" s="12">
        <f>'Cash Flow'!C46</f>
        <v>390617.61616438354</v>
      </c>
      <c r="E36" s="12">
        <f>'Cash Flow'!D46</f>
        <v>672893.51994285802</v>
      </c>
      <c r="F36" s="12">
        <f>'Cash Flow'!E46</f>
        <v>950235.54153187876</v>
      </c>
      <c r="G36" s="12">
        <f>'Cash Flow'!F46</f>
        <v>1216111.0154380018</v>
      </c>
      <c r="H36" s="13">
        <f>('Cash Flow'!F46/MAX('Cash Flow'!B46,1))^(1/4)-1</f>
        <v>6.2298603633451348</v>
      </c>
    </row>
    <row r="37" spans="2:8" ht="16.05" customHeight="1" x14ac:dyDescent="0.3">
      <c r="B37" s="14" t="s">
        <v>41</v>
      </c>
      <c r="C37" s="15">
        <f>'Income Statement'!B47</f>
        <v>1080000</v>
      </c>
      <c r="D37" s="15">
        <f>'Income Statement'!C47</f>
        <v>1620000</v>
      </c>
      <c r="E37" s="15">
        <f>'Income Statement'!D47</f>
        <v>2159946</v>
      </c>
      <c r="F37" s="15">
        <f>'Income Statement'!E47</f>
        <v>2879856.0017999997</v>
      </c>
      <c r="G37" s="15">
        <f>'Income Statement'!F47</f>
        <v>3743812.8023399999</v>
      </c>
      <c r="H37" s="16">
        <f>('Income Statement'!F47/MAX('Income Statement'!B47,1))^(1/4)-1</f>
        <v>0.36449702272878293</v>
      </c>
    </row>
    <row r="38" spans="2:8" ht="7.95" customHeight="1" x14ac:dyDescent="0.3"/>
    <row r="39" spans="2:8" ht="13.95" customHeight="1" x14ac:dyDescent="0.3">
      <c r="B39" s="85" t="s">
        <v>42</v>
      </c>
      <c r="C39" s="86"/>
      <c r="D39" s="86"/>
      <c r="E39" s="86"/>
      <c r="F39" s="86"/>
      <c r="G39" s="86"/>
      <c r="H39" s="86"/>
    </row>
  </sheetData>
  <sheetProtection algorithmName="SHA-512" hashValue="XZoGP4u876kC8OX4hcNjAXiL/88VjaBlndFmQapG93/N2GlWY7W0/0gIwo2TFWveMgk6goNnuW9h0FtbW2evpA==" saltValue="RITinRVPPXQiF9Sof/IESA==" spinCount="100000" sheet="1" objects="1" scenarios="1"/>
  <mergeCells count="12">
    <mergeCell ref="B26:H26"/>
    <mergeCell ref="B15:H15"/>
    <mergeCell ref="B39:H39"/>
    <mergeCell ref="B9:C9"/>
    <mergeCell ref="B4:H4"/>
    <mergeCell ref="D9:E9"/>
    <mergeCell ref="B2:H2"/>
    <mergeCell ref="B3:H3"/>
    <mergeCell ref="D10:E10"/>
    <mergeCell ref="B10:C10"/>
    <mergeCell ref="F9:G9"/>
    <mergeCell ref="F10:G10"/>
  </mergeCells>
  <pageMargins left="0.5" right="0.5" top="0.75" bottom="0.75" header="0.5" footer="0.5"/>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8991E"/>
  </sheetPr>
  <dimension ref="A1:G55"/>
  <sheetViews>
    <sheetView showGridLines="0" workbookViewId="0">
      <pane xSplit="1" ySplit="6" topLeftCell="B7" activePane="bottomRight" state="frozen"/>
      <selection pane="topRight"/>
      <selection pane="bottomLeft"/>
      <selection pane="bottomRight"/>
    </sheetView>
  </sheetViews>
  <sheetFormatPr defaultRowHeight="14.4" x14ac:dyDescent="0.3"/>
  <cols>
    <col min="1" max="1" width="40" customWidth="1"/>
    <col min="2" max="6" width="14" customWidth="1"/>
  </cols>
  <sheetData>
    <row r="1" spans="1:7" ht="31.95" customHeight="1" x14ac:dyDescent="0.3">
      <c r="A1" s="19" t="s">
        <v>43</v>
      </c>
    </row>
    <row r="2" spans="1:7" ht="18" customHeight="1" x14ac:dyDescent="0.3">
      <c r="A2" s="20" t="s">
        <v>44</v>
      </c>
    </row>
    <row r="3" spans="1:7" ht="13.95" customHeight="1" x14ac:dyDescent="0.3">
      <c r="A3" s="21" t="s">
        <v>45</v>
      </c>
    </row>
    <row r="6" spans="1:7" ht="22.05" customHeight="1" x14ac:dyDescent="0.3">
      <c r="A6" s="22" t="s">
        <v>46</v>
      </c>
      <c r="B6" s="22" t="s">
        <v>25</v>
      </c>
      <c r="C6" s="22" t="s">
        <v>26</v>
      </c>
      <c r="D6" s="22" t="s">
        <v>27</v>
      </c>
      <c r="E6" s="22" t="s">
        <v>28</v>
      </c>
      <c r="F6" s="22" t="s">
        <v>29</v>
      </c>
    </row>
    <row r="7" spans="1:7" ht="7.05" customHeight="1" x14ac:dyDescent="0.3">
      <c r="A7" s="6"/>
      <c r="B7" s="6"/>
      <c r="C7" s="6"/>
      <c r="D7" s="6"/>
      <c r="E7" s="6"/>
      <c r="F7" s="6"/>
      <c r="G7" s="6"/>
    </row>
    <row r="8" spans="1:7" ht="15" customHeight="1" x14ac:dyDescent="0.3">
      <c r="A8" s="23" t="s">
        <v>47</v>
      </c>
      <c r="B8" s="23"/>
      <c r="C8" s="23"/>
      <c r="D8" s="23"/>
      <c r="E8" s="23"/>
      <c r="F8" s="23"/>
    </row>
    <row r="9" spans="1:7" ht="16.05" customHeight="1" x14ac:dyDescent="0.3">
      <c r="A9" s="24" t="s">
        <v>48</v>
      </c>
      <c r="B9" s="25">
        <v>1200000</v>
      </c>
      <c r="C9" s="26" t="s">
        <v>34</v>
      </c>
      <c r="D9" s="26" t="s">
        <v>34</v>
      </c>
      <c r="E9" s="26" t="s">
        <v>34</v>
      </c>
      <c r="F9" s="26" t="s">
        <v>34</v>
      </c>
      <c r="G9" s="6"/>
    </row>
    <row r="10" spans="1:7" ht="16.05" customHeight="1" x14ac:dyDescent="0.3">
      <c r="A10" s="27" t="s">
        <v>49</v>
      </c>
      <c r="B10" s="28" t="s">
        <v>50</v>
      </c>
      <c r="C10" s="29">
        <v>0.5</v>
      </c>
      <c r="D10" s="29">
        <v>0.33329999999999999</v>
      </c>
      <c r="E10" s="29">
        <v>0.33329999999999999</v>
      </c>
      <c r="F10" s="29">
        <v>0.3</v>
      </c>
      <c r="G10" s="8"/>
    </row>
    <row r="11" spans="1:7" ht="16.05" customHeight="1" x14ac:dyDescent="0.3">
      <c r="A11" s="24" t="s">
        <v>51</v>
      </c>
      <c r="B11" s="30">
        <v>0.9</v>
      </c>
      <c r="C11" s="30">
        <v>0.9</v>
      </c>
      <c r="D11" s="30">
        <v>0.9</v>
      </c>
      <c r="E11" s="30">
        <v>0.9</v>
      </c>
      <c r="F11" s="30">
        <v>0.9</v>
      </c>
      <c r="G11" s="6"/>
    </row>
    <row r="12" spans="1:7" ht="16.05" customHeight="1" x14ac:dyDescent="0.3">
      <c r="A12" s="27" t="s">
        <v>52</v>
      </c>
      <c r="B12" s="31">
        <f>1-Assumptions!B11</f>
        <v>9.9999999999999978E-2</v>
      </c>
      <c r="C12" s="31">
        <f>1-Assumptions!C11</f>
        <v>9.9999999999999978E-2</v>
      </c>
      <c r="D12" s="31">
        <f>1-Assumptions!D11</f>
        <v>9.9999999999999978E-2</v>
      </c>
      <c r="E12" s="31">
        <f>1-Assumptions!E11</f>
        <v>9.9999999999999978E-2</v>
      </c>
      <c r="F12" s="31">
        <f>1-Assumptions!F11</f>
        <v>9.9999999999999978E-2</v>
      </c>
      <c r="G12" s="8"/>
    </row>
    <row r="13" spans="1:7" ht="7.05" customHeight="1" x14ac:dyDescent="0.3">
      <c r="A13" s="6"/>
      <c r="B13" s="6"/>
      <c r="C13" s="6"/>
      <c r="D13" s="6"/>
      <c r="E13" s="6"/>
      <c r="F13" s="6"/>
      <c r="G13" s="6"/>
    </row>
    <row r="14" spans="1:7" ht="15" customHeight="1" x14ac:dyDescent="0.3">
      <c r="A14" s="23" t="s">
        <v>53</v>
      </c>
      <c r="B14" s="23"/>
      <c r="C14" s="23"/>
      <c r="D14" s="23"/>
      <c r="E14" s="23"/>
      <c r="F14" s="23"/>
    </row>
    <row r="15" spans="1:7" ht="16.05" customHeight="1" x14ac:dyDescent="0.3">
      <c r="A15" s="24" t="s">
        <v>54</v>
      </c>
      <c r="B15" s="30">
        <v>0.76</v>
      </c>
      <c r="C15" s="30">
        <v>0.8</v>
      </c>
      <c r="D15" s="30">
        <v>0.8</v>
      </c>
      <c r="E15" s="30">
        <v>0.8</v>
      </c>
      <c r="F15" s="30">
        <v>0.8</v>
      </c>
      <c r="G15" s="6"/>
    </row>
    <row r="16" spans="1:7" ht="7.05" customHeight="1" x14ac:dyDescent="0.3">
      <c r="A16" s="6"/>
      <c r="B16" s="6"/>
      <c r="C16" s="6"/>
      <c r="D16" s="6"/>
      <c r="E16" s="6"/>
      <c r="F16" s="6"/>
      <c r="G16" s="6"/>
    </row>
    <row r="17" spans="1:7" ht="15" customHeight="1" x14ac:dyDescent="0.3">
      <c r="A17" s="23" t="s">
        <v>55</v>
      </c>
      <c r="B17" s="23"/>
      <c r="C17" s="23"/>
      <c r="D17" s="23"/>
      <c r="E17" s="23"/>
      <c r="F17" s="23"/>
    </row>
    <row r="19" spans="1:7" ht="16.05" customHeight="1" x14ac:dyDescent="0.3">
      <c r="A19" s="24" t="s">
        <v>56</v>
      </c>
      <c r="B19" s="30">
        <v>0.38</v>
      </c>
      <c r="C19" s="30">
        <v>0.28000000000000003</v>
      </c>
      <c r="D19" s="30">
        <v>0.25</v>
      </c>
      <c r="E19" s="30">
        <v>0.23</v>
      </c>
      <c r="F19" s="30">
        <v>0.22</v>
      </c>
      <c r="G19" s="6"/>
    </row>
    <row r="20" spans="1:7" ht="16.05" customHeight="1" x14ac:dyDescent="0.3">
      <c r="A20" s="27" t="s">
        <v>57</v>
      </c>
      <c r="B20" s="29">
        <v>0.22</v>
      </c>
      <c r="C20" s="29">
        <v>0.17</v>
      </c>
      <c r="D20" s="29">
        <v>0.15</v>
      </c>
      <c r="E20" s="29">
        <v>0.14000000000000001</v>
      </c>
      <c r="F20" s="29">
        <v>0.14000000000000001</v>
      </c>
      <c r="G20" s="8"/>
    </row>
    <row r="21" spans="1:7" ht="16.05" customHeight="1" x14ac:dyDescent="0.3">
      <c r="A21" s="24" t="s">
        <v>58</v>
      </c>
      <c r="B21" s="30">
        <v>0.15</v>
      </c>
      <c r="C21" s="30">
        <v>0.12</v>
      </c>
      <c r="D21" s="30">
        <v>0.11</v>
      </c>
      <c r="E21" s="30">
        <v>0.1</v>
      </c>
      <c r="F21" s="30">
        <v>0.1</v>
      </c>
      <c r="G21" s="6"/>
    </row>
    <row r="22" spans="1:7" ht="16.05" customHeight="1" x14ac:dyDescent="0.3">
      <c r="A22" s="27" t="s">
        <v>59</v>
      </c>
      <c r="B22" s="31">
        <f>Assumptions!B19+Assumptions!B20+Assumptions!B21</f>
        <v>0.75</v>
      </c>
      <c r="C22" s="31">
        <f>Assumptions!C19+Assumptions!C20+Assumptions!C21</f>
        <v>0.57000000000000006</v>
      </c>
      <c r="D22" s="31">
        <f>Assumptions!D19+Assumptions!D20+Assumptions!D21</f>
        <v>0.51</v>
      </c>
      <c r="E22" s="31">
        <f>Assumptions!E19+Assumptions!E20+Assumptions!E21</f>
        <v>0.47</v>
      </c>
      <c r="F22" s="31">
        <f>Assumptions!F19+Assumptions!F20+Assumptions!F21</f>
        <v>0.45999999999999996</v>
      </c>
      <c r="G22" s="8"/>
    </row>
    <row r="23" spans="1:7" ht="7.05" customHeight="1" x14ac:dyDescent="0.3">
      <c r="A23" s="6"/>
      <c r="B23" s="6"/>
      <c r="C23" s="6"/>
      <c r="D23" s="6"/>
      <c r="E23" s="6"/>
      <c r="F23" s="6"/>
      <c r="G23" s="6"/>
    </row>
    <row r="24" spans="1:7" ht="15" customHeight="1" x14ac:dyDescent="0.3">
      <c r="A24" s="23" t="s">
        <v>60</v>
      </c>
      <c r="B24" s="23"/>
      <c r="C24" s="23"/>
      <c r="D24" s="23"/>
      <c r="E24" s="23"/>
      <c r="F24" s="23"/>
    </row>
    <row r="25" spans="1:7" ht="16.05" customHeight="1" x14ac:dyDescent="0.3">
      <c r="A25" s="24" t="s">
        <v>61</v>
      </c>
      <c r="B25" s="25">
        <v>7000</v>
      </c>
      <c r="C25" s="25">
        <v>10000</v>
      </c>
      <c r="D25" s="25">
        <v>12000</v>
      </c>
      <c r="E25" s="25">
        <v>14000</v>
      </c>
      <c r="F25" s="25">
        <v>16000</v>
      </c>
      <c r="G25" s="6"/>
    </row>
    <row r="26" spans="1:7" ht="16.05" customHeight="1" x14ac:dyDescent="0.3">
      <c r="A26" s="27" t="s">
        <v>62</v>
      </c>
      <c r="B26" s="32">
        <v>5000</v>
      </c>
      <c r="C26" s="32">
        <v>8000</v>
      </c>
      <c r="D26" s="32">
        <v>12000</v>
      </c>
      <c r="E26" s="32">
        <v>16000</v>
      </c>
      <c r="F26" s="32">
        <v>20000</v>
      </c>
      <c r="G26" s="8"/>
    </row>
    <row r="27" spans="1:7" ht="16.05" customHeight="1" x14ac:dyDescent="0.3">
      <c r="A27" s="24" t="s">
        <v>63</v>
      </c>
      <c r="B27" s="33">
        <f>Assumptions!B25+Assumptions!B26</f>
        <v>12000</v>
      </c>
      <c r="C27" s="33">
        <f>Assumptions!C25+Assumptions!C26</f>
        <v>18000</v>
      </c>
      <c r="D27" s="33">
        <f>Assumptions!D25+Assumptions!D26</f>
        <v>24000</v>
      </c>
      <c r="E27" s="33">
        <f>Assumptions!E25+Assumptions!E26</f>
        <v>30000</v>
      </c>
      <c r="F27" s="33">
        <f>Assumptions!F25+Assumptions!F26</f>
        <v>36000</v>
      </c>
      <c r="G27" s="6"/>
    </row>
    <row r="28" spans="1:7" ht="16.05" customHeight="1" x14ac:dyDescent="0.3">
      <c r="A28" s="27" t="s">
        <v>64</v>
      </c>
      <c r="B28" s="29">
        <v>0.02</v>
      </c>
      <c r="C28" s="29">
        <v>1.4999999999999999E-2</v>
      </c>
      <c r="D28" s="29">
        <v>0.01</v>
      </c>
      <c r="E28" s="29">
        <v>0.01</v>
      </c>
      <c r="F28" s="29">
        <v>0.01</v>
      </c>
      <c r="G28" s="8"/>
    </row>
    <row r="29" spans="1:7" ht="16.05" customHeight="1" x14ac:dyDescent="0.3">
      <c r="A29" s="24" t="s">
        <v>65</v>
      </c>
      <c r="B29" s="30">
        <v>0.1515</v>
      </c>
      <c r="C29" s="30">
        <v>0.15029999999999999</v>
      </c>
      <c r="D29" s="30">
        <v>0.15</v>
      </c>
      <c r="E29" s="30">
        <v>0.15</v>
      </c>
      <c r="F29" s="30">
        <v>0.15</v>
      </c>
      <c r="G29" s="6"/>
    </row>
    <row r="30" spans="1:7" ht="7.05" customHeight="1" x14ac:dyDescent="0.3">
      <c r="A30" s="6"/>
      <c r="B30" s="6"/>
      <c r="C30" s="6"/>
      <c r="D30" s="6"/>
      <c r="E30" s="6"/>
      <c r="F30" s="6"/>
      <c r="G30" s="6"/>
    </row>
    <row r="31" spans="1:7" ht="15" customHeight="1" x14ac:dyDescent="0.3">
      <c r="A31" s="23" t="s">
        <v>66</v>
      </c>
      <c r="B31" s="23"/>
      <c r="C31" s="23"/>
      <c r="D31" s="23"/>
      <c r="E31" s="23"/>
      <c r="F31" s="23"/>
    </row>
    <row r="32" spans="1:7" ht="16.05" customHeight="1" x14ac:dyDescent="0.3">
      <c r="A32" s="24" t="s">
        <v>67</v>
      </c>
      <c r="B32" s="34">
        <v>30</v>
      </c>
      <c r="C32" s="34">
        <v>30</v>
      </c>
      <c r="D32" s="34">
        <v>30</v>
      </c>
      <c r="E32" s="34">
        <v>30</v>
      </c>
      <c r="F32" s="34">
        <v>30</v>
      </c>
      <c r="G32" s="6"/>
    </row>
    <row r="33" spans="1:7" ht="16.05" customHeight="1" x14ac:dyDescent="0.3">
      <c r="A33" s="27" t="s">
        <v>68</v>
      </c>
      <c r="B33" s="35">
        <v>30</v>
      </c>
      <c r="C33" s="35">
        <v>30</v>
      </c>
      <c r="D33" s="35">
        <v>30</v>
      </c>
      <c r="E33" s="35">
        <v>30</v>
      </c>
      <c r="F33" s="35">
        <v>30</v>
      </c>
      <c r="G33" s="8"/>
    </row>
    <row r="34" spans="1:7" ht="16.05" customHeight="1" x14ac:dyDescent="0.3">
      <c r="A34" s="24" t="s">
        <v>69</v>
      </c>
      <c r="B34" s="30">
        <v>0.125</v>
      </c>
      <c r="C34" s="30">
        <v>0.125</v>
      </c>
      <c r="D34" s="30">
        <v>0.125</v>
      </c>
      <c r="E34" s="30">
        <v>0.125</v>
      </c>
      <c r="F34" s="30">
        <v>0.125</v>
      </c>
      <c r="G34" s="6"/>
    </row>
    <row r="35" spans="1:7" ht="16.05" customHeight="1" x14ac:dyDescent="0.3">
      <c r="A35" s="27" t="s">
        <v>70</v>
      </c>
      <c r="B35" s="29">
        <v>5.5E-2</v>
      </c>
      <c r="C35" s="29">
        <v>5.5E-2</v>
      </c>
      <c r="D35" s="29">
        <v>5.5E-2</v>
      </c>
      <c r="E35" s="29">
        <v>5.5E-2</v>
      </c>
      <c r="F35" s="29">
        <v>5.5E-2</v>
      </c>
      <c r="G35" s="8"/>
    </row>
    <row r="36" spans="1:7" ht="16.05" customHeight="1" x14ac:dyDescent="0.3">
      <c r="A36" s="24" t="s">
        <v>71</v>
      </c>
      <c r="B36" s="30">
        <v>0.02</v>
      </c>
      <c r="C36" s="30">
        <v>0.02</v>
      </c>
      <c r="D36" s="30">
        <v>0.02</v>
      </c>
      <c r="E36" s="30">
        <v>0.02</v>
      </c>
      <c r="F36" s="30">
        <v>0.02</v>
      </c>
      <c r="G36" s="6"/>
    </row>
    <row r="37" spans="1:7" ht="7.05" customHeight="1" x14ac:dyDescent="0.3">
      <c r="A37" s="6"/>
      <c r="B37" s="6"/>
      <c r="C37" s="6"/>
      <c r="D37" s="6"/>
      <c r="E37" s="6"/>
      <c r="F37" s="6"/>
      <c r="G37" s="6"/>
    </row>
    <row r="38" spans="1:7" ht="15" customHeight="1" x14ac:dyDescent="0.3">
      <c r="A38" s="23" t="s">
        <v>72</v>
      </c>
      <c r="B38" s="23"/>
      <c r="C38" s="23"/>
      <c r="D38" s="23"/>
      <c r="E38" s="23"/>
      <c r="F38" s="23"/>
    </row>
    <row r="39" spans="1:7" ht="16.05" customHeight="1" x14ac:dyDescent="0.3">
      <c r="A39" s="24" t="s">
        <v>73</v>
      </c>
      <c r="B39" s="30">
        <v>0</v>
      </c>
      <c r="C39" s="30">
        <v>0</v>
      </c>
      <c r="D39" s="30">
        <v>1.1599999999999999E-2</v>
      </c>
      <c r="E39" s="30">
        <v>0.1</v>
      </c>
      <c r="F39" s="30">
        <v>0.15</v>
      </c>
      <c r="G39" s="6"/>
    </row>
    <row r="40" spans="1:7" ht="16.05" customHeight="1" x14ac:dyDescent="0.3">
      <c r="A40" s="27" t="s">
        <v>74</v>
      </c>
      <c r="B40" s="29">
        <v>8.0000000000000002E-3</v>
      </c>
      <c r="C40" s="29">
        <v>1.4999999999999999E-2</v>
      </c>
      <c r="D40" s="29">
        <v>0.02</v>
      </c>
      <c r="E40" s="29">
        <v>2.5000000000000001E-2</v>
      </c>
      <c r="F40" s="29">
        <v>0.03</v>
      </c>
      <c r="G40" s="8"/>
    </row>
    <row r="41" spans="1:7" ht="7.05" customHeight="1" x14ac:dyDescent="0.3">
      <c r="A41" s="6"/>
      <c r="B41" s="6"/>
      <c r="C41" s="6"/>
      <c r="D41" s="6"/>
      <c r="E41" s="6"/>
      <c r="F41" s="6"/>
      <c r="G41" s="6"/>
    </row>
    <row r="42" spans="1:7" ht="15" customHeight="1" x14ac:dyDescent="0.3">
      <c r="A42" s="23" t="s">
        <v>75</v>
      </c>
      <c r="B42" s="23"/>
      <c r="C42" s="23"/>
      <c r="D42" s="23"/>
      <c r="E42" s="23"/>
      <c r="F42" s="23"/>
    </row>
    <row r="43" spans="1:7" ht="16.05" customHeight="1" x14ac:dyDescent="0.3">
      <c r="A43" s="24" t="s">
        <v>76</v>
      </c>
      <c r="B43" s="25">
        <v>300000</v>
      </c>
      <c r="C43" s="26" t="s">
        <v>34</v>
      </c>
      <c r="D43" s="26" t="s">
        <v>34</v>
      </c>
      <c r="E43" s="26" t="s">
        <v>34</v>
      </c>
      <c r="F43" s="26" t="s">
        <v>34</v>
      </c>
      <c r="G43" s="6"/>
    </row>
    <row r="44" spans="1:7" ht="16.05" customHeight="1" x14ac:dyDescent="0.3">
      <c r="A44" s="27" t="s">
        <v>77</v>
      </c>
      <c r="B44" s="32">
        <v>88000</v>
      </c>
      <c r="C44" s="36" t="s">
        <v>34</v>
      </c>
      <c r="D44" s="36" t="s">
        <v>34</v>
      </c>
      <c r="E44" s="36" t="s">
        <v>34</v>
      </c>
      <c r="F44" s="36" t="s">
        <v>34</v>
      </c>
      <c r="G44" s="8"/>
    </row>
    <row r="45" spans="1:7" ht="16.05" customHeight="1" x14ac:dyDescent="0.3">
      <c r="A45" s="24" t="s">
        <v>78</v>
      </c>
      <c r="B45" s="25">
        <v>20000</v>
      </c>
      <c r="C45" s="26" t="s">
        <v>34</v>
      </c>
      <c r="D45" s="26" t="s">
        <v>34</v>
      </c>
      <c r="E45" s="26" t="s">
        <v>34</v>
      </c>
      <c r="F45" s="26" t="s">
        <v>34</v>
      </c>
      <c r="G45" s="6"/>
    </row>
    <row r="46" spans="1:7" ht="16.05" customHeight="1" x14ac:dyDescent="0.3">
      <c r="A46" s="27" t="s">
        <v>79</v>
      </c>
      <c r="B46" s="32">
        <v>36000</v>
      </c>
      <c r="C46" s="36" t="s">
        <v>34</v>
      </c>
      <c r="D46" s="36" t="s">
        <v>34</v>
      </c>
      <c r="E46" s="36" t="s">
        <v>34</v>
      </c>
      <c r="F46" s="36" t="s">
        <v>34</v>
      </c>
      <c r="G46" s="8"/>
    </row>
    <row r="47" spans="1:7" ht="16.05" customHeight="1" x14ac:dyDescent="0.3">
      <c r="A47" s="24" t="s">
        <v>80</v>
      </c>
      <c r="B47" s="25">
        <v>30000</v>
      </c>
      <c r="C47" s="26" t="s">
        <v>34</v>
      </c>
      <c r="D47" s="26" t="s">
        <v>34</v>
      </c>
      <c r="E47" s="26" t="s">
        <v>34</v>
      </c>
      <c r="F47" s="26" t="s">
        <v>34</v>
      </c>
      <c r="G47" s="6"/>
    </row>
    <row r="48" spans="1:7" ht="16.05" customHeight="1" x14ac:dyDescent="0.3">
      <c r="A48" s="27" t="s">
        <v>81</v>
      </c>
      <c r="B48" s="32">
        <v>0</v>
      </c>
      <c r="C48" s="36" t="s">
        <v>34</v>
      </c>
      <c r="D48" s="36" t="s">
        <v>34</v>
      </c>
      <c r="E48" s="36" t="s">
        <v>34</v>
      </c>
      <c r="F48" s="36" t="s">
        <v>34</v>
      </c>
      <c r="G48" s="8"/>
    </row>
    <row r="49" spans="1:7" ht="16.05" customHeight="1" x14ac:dyDescent="0.3">
      <c r="A49" s="24" t="s">
        <v>82</v>
      </c>
      <c r="B49" s="25">
        <v>20000</v>
      </c>
      <c r="C49" s="26" t="s">
        <v>34</v>
      </c>
      <c r="D49" s="26" t="s">
        <v>34</v>
      </c>
      <c r="E49" s="26" t="s">
        <v>34</v>
      </c>
      <c r="F49" s="26" t="s">
        <v>34</v>
      </c>
      <c r="G49" s="6"/>
    </row>
    <row r="50" spans="1:7" ht="16.05" customHeight="1" x14ac:dyDescent="0.3">
      <c r="A50" s="27" t="s">
        <v>83</v>
      </c>
      <c r="B50" s="32">
        <v>28000</v>
      </c>
      <c r="C50" s="36" t="s">
        <v>34</v>
      </c>
      <c r="D50" s="36" t="s">
        <v>34</v>
      </c>
      <c r="E50" s="36" t="s">
        <v>34</v>
      </c>
      <c r="F50" s="36" t="s">
        <v>34</v>
      </c>
      <c r="G50" s="8"/>
    </row>
    <row r="51" spans="1:7" ht="16.05" customHeight="1" x14ac:dyDescent="0.3">
      <c r="A51" s="24" t="s">
        <v>84</v>
      </c>
      <c r="B51" s="25">
        <v>100000</v>
      </c>
      <c r="C51" s="26" t="s">
        <v>34</v>
      </c>
      <c r="D51" s="26" t="s">
        <v>34</v>
      </c>
      <c r="E51" s="26" t="s">
        <v>34</v>
      </c>
      <c r="F51" s="26" t="s">
        <v>34</v>
      </c>
      <c r="G51" s="6"/>
    </row>
    <row r="52" spans="1:7" ht="16.05" customHeight="1" x14ac:dyDescent="0.3">
      <c r="A52" s="27" t="s">
        <v>85</v>
      </c>
      <c r="B52" s="32">
        <v>500000</v>
      </c>
      <c r="C52" s="36" t="s">
        <v>34</v>
      </c>
      <c r="D52" s="36" t="s">
        <v>34</v>
      </c>
      <c r="E52" s="36" t="s">
        <v>34</v>
      </c>
      <c r="F52" s="36" t="s">
        <v>34</v>
      </c>
      <c r="G52" s="8"/>
    </row>
    <row r="53" spans="1:7" ht="16.05" customHeight="1" x14ac:dyDescent="0.3">
      <c r="A53" s="24" t="s">
        <v>86</v>
      </c>
      <c r="B53" s="25">
        <v>-174000</v>
      </c>
      <c r="C53" s="26" t="s">
        <v>34</v>
      </c>
      <c r="D53" s="26" t="s">
        <v>34</v>
      </c>
      <c r="E53" s="26" t="s">
        <v>34</v>
      </c>
      <c r="F53" s="26" t="s">
        <v>34</v>
      </c>
      <c r="G53" s="6"/>
    </row>
    <row r="54" spans="1:7" ht="7.05" customHeight="1" x14ac:dyDescent="0.3">
      <c r="A54" s="6"/>
      <c r="B54" s="6"/>
      <c r="C54" s="6"/>
      <c r="D54" s="6"/>
      <c r="E54" s="6"/>
      <c r="F54" s="6"/>
      <c r="G54" s="6"/>
    </row>
    <row r="55" spans="1:7" ht="71.400000000000006" x14ac:dyDescent="0.3">
      <c r="A55" s="37" t="s">
        <v>87</v>
      </c>
    </row>
  </sheetData>
  <sheetProtection algorithmName="SHA-512" hashValue="LDzM2faewuWjDAFVEGCCSG1gCTR/uSxrbl39xDO6s7hUpkZRO9/D1JMlE9V+yfNMDzgMmYe3yJ4Qe1+v5DAp+A==" saltValue="9+OLtNiyRxxhqpotqkiEew==" spinCount="100000" sheet="1" objects="1" scenarios="1"/>
  <pageMargins left="0.5" right="0.5" top="0.75" bottom="0.75" header="0.5" footer="0.5"/>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3D6F"/>
  </sheetPr>
  <dimension ref="A1:G51"/>
  <sheetViews>
    <sheetView showGridLines="0" workbookViewId="0">
      <pane xSplit="1" ySplit="6" topLeftCell="B7" activePane="bottomRight" state="frozen"/>
      <selection pane="topRight"/>
      <selection pane="bottomLeft"/>
      <selection pane="bottomRight"/>
    </sheetView>
  </sheetViews>
  <sheetFormatPr defaultRowHeight="14.4" x14ac:dyDescent="0.3"/>
  <cols>
    <col min="1" max="1" width="42" customWidth="1"/>
    <col min="2" max="6" width="14" customWidth="1"/>
  </cols>
  <sheetData>
    <row r="1" spans="1:7" ht="31.95" customHeight="1" x14ac:dyDescent="0.3">
      <c r="A1" s="19" t="s">
        <v>88</v>
      </c>
    </row>
    <row r="2" spans="1:7" ht="18" customHeight="1" x14ac:dyDescent="0.3">
      <c r="A2" s="20" t="s">
        <v>44</v>
      </c>
    </row>
    <row r="3" spans="1:7" ht="13.95" customHeight="1" x14ac:dyDescent="0.3">
      <c r="A3" s="21" t="s">
        <v>89</v>
      </c>
    </row>
    <row r="6" spans="1:7" ht="24" customHeight="1" x14ac:dyDescent="0.3">
      <c r="A6" s="22"/>
      <c r="B6" s="22" t="s">
        <v>25</v>
      </c>
      <c r="C6" s="22" t="s">
        <v>26</v>
      </c>
      <c r="D6" s="22" t="s">
        <v>27</v>
      </c>
      <c r="E6" s="22" t="s">
        <v>28</v>
      </c>
      <c r="F6" s="22" t="s">
        <v>29</v>
      </c>
    </row>
    <row r="7" spans="1:7" ht="7.05" customHeight="1" x14ac:dyDescent="0.3">
      <c r="A7" s="6"/>
      <c r="B7" s="6"/>
      <c r="C7" s="6"/>
      <c r="D7" s="6"/>
      <c r="E7" s="6"/>
      <c r="F7" s="6"/>
      <c r="G7" s="6"/>
    </row>
    <row r="8" spans="1:7" ht="15" customHeight="1" x14ac:dyDescent="0.3">
      <c r="A8" s="23" t="s">
        <v>90</v>
      </c>
      <c r="B8" s="23"/>
      <c r="C8" s="23"/>
      <c r="D8" s="23"/>
      <c r="E8" s="23"/>
      <c r="F8" s="23"/>
    </row>
    <row r="9" spans="1:7" ht="16.05" customHeight="1" x14ac:dyDescent="0.3">
      <c r="A9" s="38" t="s">
        <v>91</v>
      </c>
      <c r="B9" s="39">
        <f>B12*Assumptions!B11</f>
        <v>1080000</v>
      </c>
      <c r="C9" s="39">
        <f>C12*Assumptions!C11</f>
        <v>1620000</v>
      </c>
      <c r="D9" s="39">
        <f>D12*Assumptions!D11</f>
        <v>2159946</v>
      </c>
      <c r="E9" s="39">
        <f>E12*Assumptions!E11</f>
        <v>2879856.0017999997</v>
      </c>
      <c r="F9" s="39">
        <f>F12*Assumptions!F11</f>
        <v>3743812.8023399999</v>
      </c>
      <c r="G9" s="8"/>
    </row>
    <row r="10" spans="1:7" ht="16.05" customHeight="1" x14ac:dyDescent="0.3">
      <c r="A10" s="40" t="s">
        <v>92</v>
      </c>
      <c r="B10" s="33">
        <f>B12-B9</f>
        <v>120000</v>
      </c>
      <c r="C10" s="33">
        <f>C12-C9</f>
        <v>180000</v>
      </c>
      <c r="D10" s="33">
        <f>D12-D9</f>
        <v>239994</v>
      </c>
      <c r="E10" s="33">
        <f>E12-E9</f>
        <v>319984.00020000013</v>
      </c>
      <c r="F10" s="33">
        <f>F12-F9</f>
        <v>415979.20025999984</v>
      </c>
      <c r="G10" s="6"/>
    </row>
    <row r="12" spans="1:7" ht="16.95" customHeight="1" x14ac:dyDescent="0.3">
      <c r="A12" s="41" t="s">
        <v>31</v>
      </c>
      <c r="B12" s="42">
        <f>Assumptions!B9</f>
        <v>1200000</v>
      </c>
      <c r="C12" s="42">
        <f>B12*(1+Assumptions!C10)</f>
        <v>1800000</v>
      </c>
      <c r="D12" s="42">
        <f>C12*(1+Assumptions!D10)</f>
        <v>2399940</v>
      </c>
      <c r="E12" s="42">
        <f>D12*(1+Assumptions!E10)</f>
        <v>3199840.0019999999</v>
      </c>
      <c r="F12" s="42">
        <f>E12*(1+Assumptions!F10)</f>
        <v>4159792.0025999998</v>
      </c>
      <c r="G12" s="43"/>
    </row>
    <row r="13" spans="1:7" ht="15" customHeight="1" x14ac:dyDescent="0.3">
      <c r="A13" s="44" t="s">
        <v>93</v>
      </c>
      <c r="B13" s="45" t="s">
        <v>50</v>
      </c>
      <c r="C13" s="45">
        <f>C12/B12-1</f>
        <v>0.5</v>
      </c>
      <c r="D13" s="45">
        <f>D12/C12-1</f>
        <v>0.33329999999999993</v>
      </c>
      <c r="E13" s="45">
        <f>E12/D12-1</f>
        <v>0.33329999999999993</v>
      </c>
      <c r="F13" s="45">
        <f>F12/E12-1</f>
        <v>0.30000000000000004</v>
      </c>
      <c r="G13" s="8"/>
    </row>
    <row r="14" spans="1:7" ht="7.05" customHeight="1" x14ac:dyDescent="0.3">
      <c r="A14" s="6"/>
      <c r="B14" s="6"/>
      <c r="C14" s="6"/>
      <c r="D14" s="6"/>
      <c r="E14" s="6"/>
      <c r="F14" s="6"/>
      <c r="G14" s="6"/>
    </row>
    <row r="15" spans="1:7" ht="15" customHeight="1" x14ac:dyDescent="0.3">
      <c r="A15" s="23" t="s">
        <v>94</v>
      </c>
      <c r="B15" s="23"/>
      <c r="C15" s="23"/>
      <c r="D15" s="23"/>
      <c r="E15" s="23"/>
      <c r="F15" s="23"/>
    </row>
    <row r="16" spans="1:7" ht="16.05" customHeight="1" x14ac:dyDescent="0.3">
      <c r="A16" s="24" t="s">
        <v>95</v>
      </c>
      <c r="B16" s="33">
        <f>B12*(1-Assumptions!B15)</f>
        <v>288000</v>
      </c>
      <c r="C16" s="33">
        <f>C12*(1-Assumptions!C15)</f>
        <v>359999.99999999994</v>
      </c>
      <c r="D16" s="33">
        <f>D12*(1-Assumptions!D15)</f>
        <v>479987.99999999988</v>
      </c>
      <c r="E16" s="33">
        <f>E12*(1-Assumptions!E15)</f>
        <v>639968.00039999979</v>
      </c>
      <c r="F16" s="33">
        <f>F12*(1-Assumptions!F15)</f>
        <v>831958.40051999979</v>
      </c>
      <c r="G16" s="6"/>
    </row>
    <row r="17" spans="1:7" ht="7.05" customHeight="1" x14ac:dyDescent="0.3">
      <c r="A17" s="6"/>
      <c r="B17" s="6"/>
      <c r="C17" s="6"/>
      <c r="D17" s="6"/>
      <c r="E17" s="6"/>
      <c r="F17" s="6"/>
      <c r="G17" s="6"/>
    </row>
    <row r="18" spans="1:7" ht="16.95" customHeight="1" x14ac:dyDescent="0.3">
      <c r="A18" s="41" t="s">
        <v>32</v>
      </c>
      <c r="B18" s="42">
        <f>B12-B16</f>
        <v>912000</v>
      </c>
      <c r="C18" s="42">
        <f>C12-C16</f>
        <v>1440000</v>
      </c>
      <c r="D18" s="42">
        <f>D12-D16</f>
        <v>1919952</v>
      </c>
      <c r="E18" s="42">
        <f>E12-E16</f>
        <v>2559872.0016000001</v>
      </c>
      <c r="F18" s="42">
        <f>F12-F16</f>
        <v>3327833.6020800001</v>
      </c>
      <c r="G18" s="43"/>
    </row>
    <row r="19" spans="1:7" ht="15" customHeight="1" x14ac:dyDescent="0.3">
      <c r="A19" s="44" t="s">
        <v>96</v>
      </c>
      <c r="B19" s="46">
        <f>B18/B12</f>
        <v>0.76</v>
      </c>
      <c r="C19" s="46">
        <f>C18/C12</f>
        <v>0.8</v>
      </c>
      <c r="D19" s="46">
        <f>D18/D12</f>
        <v>0.8</v>
      </c>
      <c r="E19" s="46">
        <f>E18/E12</f>
        <v>0.8</v>
      </c>
      <c r="F19" s="46">
        <f>F18/F12</f>
        <v>0.8</v>
      </c>
      <c r="G19" s="8"/>
    </row>
    <row r="20" spans="1:7" ht="7.05" customHeight="1" x14ac:dyDescent="0.3">
      <c r="A20" s="6"/>
      <c r="B20" s="6"/>
      <c r="C20" s="6"/>
      <c r="D20" s="6"/>
      <c r="E20" s="6"/>
      <c r="F20" s="6"/>
      <c r="G20" s="6"/>
    </row>
    <row r="21" spans="1:7" ht="15" customHeight="1" x14ac:dyDescent="0.3">
      <c r="A21" s="23" t="s">
        <v>97</v>
      </c>
      <c r="B21" s="23"/>
      <c r="C21" s="23"/>
      <c r="D21" s="23"/>
      <c r="E21" s="23"/>
      <c r="F21" s="23"/>
    </row>
    <row r="22" spans="1:7" ht="16.05" customHeight="1" x14ac:dyDescent="0.3">
      <c r="A22" s="24" t="s">
        <v>98</v>
      </c>
      <c r="B22" s="33">
        <f>B12*Assumptions!B19</f>
        <v>456000</v>
      </c>
      <c r="C22" s="33">
        <f>C12*Assumptions!C19</f>
        <v>504000.00000000006</v>
      </c>
      <c r="D22" s="33">
        <f>D12*Assumptions!D19</f>
        <v>599985</v>
      </c>
      <c r="E22" s="33">
        <f>E12*Assumptions!E19</f>
        <v>735963.20045999996</v>
      </c>
      <c r="F22" s="33">
        <f>F12*Assumptions!F19</f>
        <v>915154.24057199992</v>
      </c>
      <c r="G22" s="6"/>
    </row>
    <row r="23" spans="1:7" ht="16.05" customHeight="1" x14ac:dyDescent="0.3">
      <c r="A23" s="27" t="s">
        <v>99</v>
      </c>
      <c r="B23" s="39">
        <f>B12*Assumptions!B20</f>
        <v>264000</v>
      </c>
      <c r="C23" s="39">
        <f>C12*Assumptions!C20</f>
        <v>306000</v>
      </c>
      <c r="D23" s="39">
        <f>D12*Assumptions!D20</f>
        <v>359991</v>
      </c>
      <c r="E23" s="39">
        <f>E12*Assumptions!E20</f>
        <v>447977.60028000001</v>
      </c>
      <c r="F23" s="39">
        <f>F12*Assumptions!F20</f>
        <v>582370.88036399998</v>
      </c>
      <c r="G23" s="8"/>
    </row>
    <row r="24" spans="1:7" ht="16.05" customHeight="1" x14ac:dyDescent="0.3">
      <c r="A24" s="24" t="s">
        <v>100</v>
      </c>
      <c r="B24" s="33">
        <f>B12*Assumptions!B21</f>
        <v>180000</v>
      </c>
      <c r="C24" s="33">
        <f>C12*Assumptions!C21</f>
        <v>216000</v>
      </c>
      <c r="D24" s="33">
        <f>D12*Assumptions!D21</f>
        <v>263993.40000000002</v>
      </c>
      <c r="E24" s="33">
        <f>E12*Assumptions!E21</f>
        <v>319984.00020000001</v>
      </c>
      <c r="F24" s="33">
        <f>F12*Assumptions!F21</f>
        <v>415979.20026000001</v>
      </c>
      <c r="G24" s="6"/>
    </row>
    <row r="25" spans="1:7" ht="7.05" customHeight="1" x14ac:dyDescent="0.3">
      <c r="A25" s="6"/>
      <c r="B25" s="6"/>
      <c r="C25" s="6"/>
      <c r="D25" s="6"/>
      <c r="E25" s="6"/>
      <c r="F25" s="6"/>
      <c r="G25" s="6"/>
    </row>
    <row r="26" spans="1:7" ht="16.95" customHeight="1" x14ac:dyDescent="0.3">
      <c r="A26" s="41" t="s">
        <v>101</v>
      </c>
      <c r="B26" s="42">
        <f>B22+B23+B24</f>
        <v>900000</v>
      </c>
      <c r="C26" s="42">
        <f>C22+C23+C24</f>
        <v>1026000</v>
      </c>
      <c r="D26" s="42">
        <f>D22+D23+D24</f>
        <v>1223969.3999999999</v>
      </c>
      <c r="E26" s="42">
        <f>E22+E23+E24</f>
        <v>1503924.80094</v>
      </c>
      <c r="F26" s="42">
        <f>F22+F23+F24</f>
        <v>1913504.3211959999</v>
      </c>
      <c r="G26" s="43"/>
    </row>
    <row r="27" spans="1:7" ht="7.05" customHeight="1" x14ac:dyDescent="0.3">
      <c r="A27" s="6"/>
      <c r="B27" s="6"/>
      <c r="C27" s="6"/>
      <c r="D27" s="6"/>
      <c r="E27" s="6"/>
      <c r="F27" s="6"/>
      <c r="G27" s="6"/>
    </row>
    <row r="28" spans="1:7" ht="18" customHeight="1" x14ac:dyDescent="0.3">
      <c r="A28" s="47" t="s">
        <v>35</v>
      </c>
      <c r="B28" s="48">
        <f>B18-B26</f>
        <v>12000</v>
      </c>
      <c r="C28" s="48">
        <f>C18-C26</f>
        <v>414000</v>
      </c>
      <c r="D28" s="48">
        <f>D18-D26</f>
        <v>695982.60000000009</v>
      </c>
      <c r="E28" s="48">
        <f>E18-E26</f>
        <v>1055947.2006600001</v>
      </c>
      <c r="F28" s="48">
        <f>F18-F26</f>
        <v>1414329.2808840002</v>
      </c>
      <c r="G28" s="49"/>
    </row>
    <row r="29" spans="1:7" ht="15" customHeight="1" x14ac:dyDescent="0.3">
      <c r="A29" s="44" t="s">
        <v>102</v>
      </c>
      <c r="B29" s="46">
        <f>B28/B12</f>
        <v>0.01</v>
      </c>
      <c r="C29" s="46">
        <f>C28/C12</f>
        <v>0.23</v>
      </c>
      <c r="D29" s="46">
        <f>D28/D12</f>
        <v>0.29000000000000004</v>
      </c>
      <c r="E29" s="46">
        <f>E28/E12</f>
        <v>0.33</v>
      </c>
      <c r="F29" s="46">
        <f>F28/F12</f>
        <v>0.34000000000000008</v>
      </c>
      <c r="G29" s="8"/>
    </row>
    <row r="30" spans="1:7" ht="7.05" customHeight="1" x14ac:dyDescent="0.3">
      <c r="A30" s="6"/>
      <c r="B30" s="6"/>
      <c r="C30" s="6"/>
      <c r="D30" s="6"/>
      <c r="E30" s="6"/>
      <c r="F30" s="6"/>
      <c r="G30" s="6"/>
    </row>
    <row r="31" spans="1:7" ht="16.05" customHeight="1" x14ac:dyDescent="0.3">
      <c r="A31" s="24" t="s">
        <v>103</v>
      </c>
      <c r="B31" s="50">
        <f>Assumptions!B27</f>
        <v>12000</v>
      </c>
      <c r="C31" s="50">
        <f>Assumptions!C27</f>
        <v>18000</v>
      </c>
      <c r="D31" s="50">
        <f>Assumptions!D27</f>
        <v>24000</v>
      </c>
      <c r="E31" s="50">
        <f>Assumptions!E27</f>
        <v>30000</v>
      </c>
      <c r="F31" s="50">
        <f>Assumptions!F27</f>
        <v>36000</v>
      </c>
      <c r="G31" s="6"/>
    </row>
    <row r="33" spans="1:7" ht="16.95" customHeight="1" x14ac:dyDescent="0.3">
      <c r="A33" s="41" t="s">
        <v>104</v>
      </c>
      <c r="B33" s="42">
        <f>B28-B31</f>
        <v>0</v>
      </c>
      <c r="C33" s="42">
        <f>C28-C31</f>
        <v>396000</v>
      </c>
      <c r="D33" s="42">
        <f>D28-D31</f>
        <v>671982.60000000009</v>
      </c>
      <c r="E33" s="42">
        <f>E28-E31</f>
        <v>1025947.2006600001</v>
      </c>
      <c r="F33" s="42">
        <f>F28-F31</f>
        <v>1378329.2808840002</v>
      </c>
      <c r="G33" s="43"/>
    </row>
    <row r="34" spans="1:7" ht="15" customHeight="1" x14ac:dyDescent="0.3">
      <c r="A34" s="44" t="s">
        <v>105</v>
      </c>
      <c r="B34" s="45">
        <f>B33/B12</f>
        <v>0</v>
      </c>
      <c r="C34" s="45">
        <f>C33/C12</f>
        <v>0.22</v>
      </c>
      <c r="D34" s="45">
        <f>D33/D12</f>
        <v>0.27999974999374988</v>
      </c>
      <c r="E34" s="45">
        <f>E33/E12</f>
        <v>0.32062453123242135</v>
      </c>
      <c r="F34" s="45">
        <f>F33/F12</f>
        <v>0.33134572113761973</v>
      </c>
      <c r="G34" s="8"/>
    </row>
    <row r="35" spans="1:7" ht="7.05" customHeight="1" x14ac:dyDescent="0.3">
      <c r="A35" s="6"/>
      <c r="B35" s="6"/>
      <c r="C35" s="6"/>
      <c r="D35" s="6"/>
      <c r="E35" s="6"/>
      <c r="F35" s="6"/>
      <c r="G35" s="6"/>
    </row>
    <row r="36" spans="1:7" ht="16.05" customHeight="1" x14ac:dyDescent="0.3">
      <c r="A36" s="27" t="s">
        <v>106</v>
      </c>
      <c r="B36" s="51">
        <f>Assumptions!B43*Assumptions!B40</f>
        <v>2400</v>
      </c>
      <c r="C36" s="51">
        <f>'Cash Flow'!B40*Assumptions!C40</f>
        <v>4506.676438356164</v>
      </c>
      <c r="D36" s="51">
        <f>'Cash Flow'!C40*Assumptions!D40</f>
        <v>13821.254241095889</v>
      </c>
      <c r="E36" s="51">
        <f>'Cash Flow'!D40*Assumptions!E40</f>
        <v>34098.905799941313</v>
      </c>
      <c r="F36" s="51">
        <f>'Cash Flow'!E40*Assumptions!F40</f>
        <v>69425.753205885936</v>
      </c>
      <c r="G36" s="8"/>
    </row>
    <row r="38" spans="1:7" ht="16.95" customHeight="1" x14ac:dyDescent="0.3">
      <c r="A38" s="41" t="s">
        <v>107</v>
      </c>
      <c r="B38" s="42">
        <f>B33+B36</f>
        <v>2400</v>
      </c>
      <c r="C38" s="42">
        <f>C33+C36</f>
        <v>400506.67643835617</v>
      </c>
      <c r="D38" s="42">
        <f>D33+D36</f>
        <v>685803.85424109595</v>
      </c>
      <c r="E38" s="42">
        <f>E33+E36</f>
        <v>1060046.1064599415</v>
      </c>
      <c r="F38" s="42">
        <f>F33+F36</f>
        <v>1447755.0340898861</v>
      </c>
      <c r="G38" s="43"/>
    </row>
    <row r="39" spans="1:7" ht="7.05" customHeight="1" x14ac:dyDescent="0.3">
      <c r="A39" s="6"/>
      <c r="B39" s="6"/>
      <c r="C39" s="6"/>
      <c r="D39" s="6"/>
      <c r="E39" s="6"/>
      <c r="F39" s="6"/>
      <c r="G39" s="6"/>
    </row>
    <row r="40" spans="1:7" ht="16.05" customHeight="1" x14ac:dyDescent="0.3">
      <c r="A40" s="24" t="s">
        <v>108</v>
      </c>
      <c r="B40" s="33">
        <f>MAX(B38*Assumptions!B39,0)</f>
        <v>0</v>
      </c>
      <c r="C40" s="33">
        <f>MAX(C38*Assumptions!C39,0)</f>
        <v>0</v>
      </c>
      <c r="D40" s="33">
        <f>MAX(D38*Assumptions!D39,0)</f>
        <v>7955.3247091967123</v>
      </c>
      <c r="E40" s="33">
        <f>MAX(E38*Assumptions!E39,0)</f>
        <v>106004.61064599415</v>
      </c>
      <c r="F40" s="33">
        <f>MAX(F38*Assumptions!F39,0)</f>
        <v>217163.25511348291</v>
      </c>
      <c r="G40" s="6"/>
    </row>
    <row r="41" spans="1:7" ht="7.05" customHeight="1" x14ac:dyDescent="0.3">
      <c r="A41" s="6"/>
      <c r="B41" s="6"/>
      <c r="C41" s="6"/>
      <c r="D41" s="6"/>
      <c r="E41" s="6"/>
      <c r="F41" s="6"/>
      <c r="G41" s="6"/>
    </row>
    <row r="42" spans="1:7" ht="18" customHeight="1" x14ac:dyDescent="0.3">
      <c r="A42" s="52" t="s">
        <v>109</v>
      </c>
      <c r="B42" s="53">
        <f>B38-B40</f>
        <v>2400</v>
      </c>
      <c r="C42" s="53">
        <f>C38-C40</f>
        <v>400506.67643835617</v>
      </c>
      <c r="D42" s="53">
        <f>D38-D40</f>
        <v>677848.52953189926</v>
      </c>
      <c r="E42" s="53">
        <f>E38-E40</f>
        <v>954041.49581394729</v>
      </c>
      <c r="F42" s="53">
        <f>F38-F40</f>
        <v>1230591.7789764032</v>
      </c>
      <c r="G42" s="49"/>
    </row>
    <row r="43" spans="1:7" ht="15" customHeight="1" x14ac:dyDescent="0.3">
      <c r="A43" s="44" t="s">
        <v>110</v>
      </c>
      <c r="B43" s="46">
        <f>B42/B12</f>
        <v>2E-3</v>
      </c>
      <c r="C43" s="46">
        <f>C42/C12</f>
        <v>0.2225037091324201</v>
      </c>
      <c r="D43" s="46">
        <f>D42/D12</f>
        <v>0.2824439484036681</v>
      </c>
      <c r="E43" s="46">
        <f>E42/E12</f>
        <v>0.29815287489925796</v>
      </c>
      <c r="F43" s="46">
        <f>F42/F12</f>
        <v>0.29583012280595877</v>
      </c>
      <c r="G43" s="8"/>
    </row>
    <row r="44" spans="1:7" ht="7.05" customHeight="1" x14ac:dyDescent="0.3">
      <c r="A44" s="6"/>
      <c r="B44" s="6"/>
      <c r="C44" s="6"/>
      <c r="D44" s="6"/>
      <c r="E44" s="6"/>
      <c r="F44" s="6"/>
      <c r="G44" s="6"/>
    </row>
    <row r="45" spans="1:7" ht="7.05" customHeight="1" x14ac:dyDescent="0.3">
      <c r="A45" s="6"/>
      <c r="B45" s="6"/>
      <c r="C45" s="6"/>
      <c r="D45" s="6"/>
      <c r="E45" s="6"/>
      <c r="F45" s="6"/>
      <c r="G45" s="6"/>
    </row>
    <row r="46" spans="1:7" ht="15" customHeight="1" x14ac:dyDescent="0.3">
      <c r="A46" s="54" t="s">
        <v>111</v>
      </c>
      <c r="B46" s="54"/>
      <c r="C46" s="54"/>
      <c r="D46" s="54"/>
      <c r="E46" s="54"/>
      <c r="F46" s="54"/>
    </row>
    <row r="47" spans="1:7" ht="16.05" customHeight="1" x14ac:dyDescent="0.3">
      <c r="A47" s="24" t="s">
        <v>112</v>
      </c>
      <c r="B47" s="33">
        <f>B9</f>
        <v>1080000</v>
      </c>
      <c r="C47" s="33">
        <f>C9</f>
        <v>1620000</v>
      </c>
      <c r="D47" s="33">
        <f>D9</f>
        <v>2159946</v>
      </c>
      <c r="E47" s="33">
        <f>E9</f>
        <v>2879856.0017999997</v>
      </c>
      <c r="F47" s="33">
        <f>F9</f>
        <v>3743812.8023399999</v>
      </c>
      <c r="G47" s="6"/>
    </row>
    <row r="48" spans="1:7" ht="16.05" customHeight="1" x14ac:dyDescent="0.3">
      <c r="A48" s="27" t="s">
        <v>113</v>
      </c>
      <c r="B48" s="39">
        <f>B47/12</f>
        <v>90000</v>
      </c>
      <c r="C48" s="39">
        <f>C47/12</f>
        <v>135000</v>
      </c>
      <c r="D48" s="39">
        <f>D47/12</f>
        <v>179995.5</v>
      </c>
      <c r="E48" s="39">
        <f>E47/12</f>
        <v>239988.00014999998</v>
      </c>
      <c r="F48" s="39">
        <f>F47/12</f>
        <v>311984.40019499999</v>
      </c>
      <c r="G48" s="8"/>
    </row>
    <row r="49" spans="1:7" ht="15" customHeight="1" x14ac:dyDescent="0.3">
      <c r="A49" s="44" t="s">
        <v>114</v>
      </c>
      <c r="B49" s="45" t="s">
        <v>50</v>
      </c>
      <c r="C49" s="45">
        <f>C47/B47-1</f>
        <v>0.5</v>
      </c>
      <c r="D49" s="45">
        <f>D47/C47-1</f>
        <v>0.33329999999999993</v>
      </c>
      <c r="E49" s="45">
        <f>E47/D47-1</f>
        <v>0.33329999999999993</v>
      </c>
      <c r="F49" s="45">
        <f>F47/E47-1</f>
        <v>0.30000000000000004</v>
      </c>
      <c r="G49" s="8"/>
    </row>
    <row r="50" spans="1:7" ht="7.05" customHeight="1" x14ac:dyDescent="0.3">
      <c r="A50" s="6"/>
      <c r="B50" s="6"/>
      <c r="C50" s="6"/>
      <c r="D50" s="6"/>
      <c r="E50" s="6"/>
      <c r="F50" s="6"/>
      <c r="G50" s="6"/>
    </row>
    <row r="51" spans="1:7" ht="61.2" x14ac:dyDescent="0.3">
      <c r="A51" s="37" t="s">
        <v>115</v>
      </c>
    </row>
  </sheetData>
  <sheetProtection algorithmName="SHA-512" hashValue="5Ap7XTiJv9rm3rH4ZlUFdr1s2nameTX60+uE7HmSHPgws0nRaBL/E7LKJlv7F0wjFHXtGI55u+Q1NSbRWPBNEA==" saltValue="ooocDXG+I3/lGr+DR3UKAA==" spinCount="100000" sheet="1" objects="1" scenarios="1"/>
  <pageMargins left="0.5" right="0.5" top="0.75" bottom="0.75" header="0.5" footer="0.5"/>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A5298"/>
  </sheetPr>
  <dimension ref="A1:G68"/>
  <sheetViews>
    <sheetView showGridLines="0" workbookViewId="0">
      <pane xSplit="1" ySplit="6" topLeftCell="B7" activePane="bottomRight" state="frozen"/>
      <selection pane="topRight"/>
      <selection pane="bottomLeft"/>
      <selection pane="bottomRight"/>
    </sheetView>
  </sheetViews>
  <sheetFormatPr defaultRowHeight="14.4" x14ac:dyDescent="0.3"/>
  <cols>
    <col min="1" max="1" width="44" customWidth="1"/>
    <col min="2" max="6" width="14" customWidth="1"/>
  </cols>
  <sheetData>
    <row r="1" spans="1:7" ht="31.95" customHeight="1" x14ac:dyDescent="0.3">
      <c r="A1" s="19" t="s">
        <v>116</v>
      </c>
    </row>
    <row r="2" spans="1:7" ht="18" customHeight="1" x14ac:dyDescent="0.3">
      <c r="A2" s="20" t="s">
        <v>44</v>
      </c>
    </row>
    <row r="3" spans="1:7" ht="13.95" customHeight="1" x14ac:dyDescent="0.3">
      <c r="A3" s="21" t="s">
        <v>117</v>
      </c>
    </row>
    <row r="6" spans="1:7" ht="24" customHeight="1" x14ac:dyDescent="0.3">
      <c r="A6" s="22"/>
      <c r="B6" s="22" t="s">
        <v>118</v>
      </c>
      <c r="C6" s="22" t="s">
        <v>119</v>
      </c>
      <c r="D6" s="22" t="s">
        <v>120</v>
      </c>
      <c r="E6" s="22" t="s">
        <v>121</v>
      </c>
      <c r="F6" s="22" t="s">
        <v>122</v>
      </c>
    </row>
    <row r="7" spans="1:7" ht="7.05" customHeight="1" x14ac:dyDescent="0.3">
      <c r="A7" s="6"/>
      <c r="B7" s="6"/>
      <c r="C7" s="6"/>
      <c r="D7" s="6"/>
      <c r="E7" s="6"/>
      <c r="F7" s="6"/>
      <c r="G7" s="6"/>
    </row>
    <row r="8" spans="1:7" ht="15" customHeight="1" x14ac:dyDescent="0.3">
      <c r="A8" s="55" t="s">
        <v>123</v>
      </c>
      <c r="B8" s="55"/>
      <c r="C8" s="55"/>
      <c r="D8" s="55"/>
      <c r="E8" s="55"/>
      <c r="F8" s="55"/>
    </row>
    <row r="9" spans="1:7" ht="15" customHeight="1" x14ac:dyDescent="0.3">
      <c r="A9" s="23" t="s">
        <v>124</v>
      </c>
      <c r="B9" s="23"/>
      <c r="C9" s="23"/>
      <c r="D9" s="23"/>
      <c r="E9" s="23"/>
      <c r="F9" s="23"/>
    </row>
    <row r="10" spans="1:7" ht="16.05" customHeight="1" x14ac:dyDescent="0.3">
      <c r="A10" s="24" t="s">
        <v>125</v>
      </c>
      <c r="B10" s="50">
        <f>'Cash Flow'!B40</f>
        <v>300445.09589041094</v>
      </c>
      <c r="C10" s="50">
        <f>'Cash Flow'!C40</f>
        <v>691062.71205479442</v>
      </c>
      <c r="D10" s="50">
        <f>'Cash Flow'!D40</f>
        <v>1363956.2319976524</v>
      </c>
      <c r="E10" s="50">
        <f>'Cash Flow'!E40</f>
        <v>2314191.7735295314</v>
      </c>
      <c r="F10" s="50">
        <f>'Cash Flow'!F40</f>
        <v>3530302.788967533</v>
      </c>
      <c r="G10" s="6"/>
    </row>
    <row r="11" spans="1:7" ht="16.05" customHeight="1" x14ac:dyDescent="0.3">
      <c r="A11" s="27" t="s">
        <v>77</v>
      </c>
      <c r="B11" s="39">
        <f>'Income Statement'!B12*Assumptions!B32/365</f>
        <v>98630.136986301368</v>
      </c>
      <c r="C11" s="39">
        <f>'Income Statement'!C12*Assumptions!C32/365</f>
        <v>147945.20547945207</v>
      </c>
      <c r="D11" s="39">
        <f>'Income Statement'!D12*Assumptions!D32/365</f>
        <v>197255.34246575343</v>
      </c>
      <c r="E11" s="39">
        <f>'Income Statement'!E12*Assumptions!E32/365</f>
        <v>263000.54810958903</v>
      </c>
      <c r="F11" s="39">
        <f>'Income Statement'!F12*Assumptions!F32/365</f>
        <v>341900.71254246571</v>
      </c>
      <c r="G11" s="8"/>
    </row>
    <row r="12" spans="1:7" ht="16.05" customHeight="1" x14ac:dyDescent="0.3">
      <c r="A12" s="24" t="s">
        <v>126</v>
      </c>
      <c r="B12" s="33">
        <f>'Income Statement'!B12*Assumptions!B36</f>
        <v>24000</v>
      </c>
      <c r="C12" s="33">
        <f>'Income Statement'!C12*Assumptions!C36</f>
        <v>36000</v>
      </c>
      <c r="D12" s="33">
        <f>'Income Statement'!D12*Assumptions!D36</f>
        <v>47998.8</v>
      </c>
      <c r="E12" s="33">
        <f>'Income Statement'!E12*Assumptions!E36</f>
        <v>63996.800040000002</v>
      </c>
      <c r="F12" s="33">
        <f>'Income Statement'!F12*Assumptions!F36</f>
        <v>83195.840052</v>
      </c>
      <c r="G12" s="6"/>
    </row>
    <row r="13" spans="1:7" ht="7.05" customHeight="1" x14ac:dyDescent="0.3">
      <c r="A13" s="6"/>
      <c r="B13" s="6"/>
      <c r="C13" s="6"/>
      <c r="D13" s="6"/>
      <c r="E13" s="6"/>
      <c r="F13" s="6"/>
      <c r="G13" s="6"/>
    </row>
    <row r="14" spans="1:7" ht="16.95" customHeight="1" x14ac:dyDescent="0.3">
      <c r="A14" s="41" t="s">
        <v>127</v>
      </c>
      <c r="B14" s="42">
        <f>B10+B11+B12</f>
        <v>423075.23287671234</v>
      </c>
      <c r="C14" s="42">
        <f>C10+C11+C12</f>
        <v>875007.91753424646</v>
      </c>
      <c r="D14" s="42">
        <f>D10+D11+D12</f>
        <v>1609210.3744634059</v>
      </c>
      <c r="E14" s="42">
        <f>E10+E11+E12</f>
        <v>2641189.1216791207</v>
      </c>
      <c r="F14" s="42">
        <f>F10+F11+F12</f>
        <v>3955399.3415619987</v>
      </c>
      <c r="G14" s="43"/>
    </row>
    <row r="15" spans="1:7" ht="7.05" customHeight="1" x14ac:dyDescent="0.3">
      <c r="A15" s="6"/>
      <c r="B15" s="6"/>
      <c r="C15" s="6"/>
      <c r="D15" s="6"/>
      <c r="E15" s="6"/>
      <c r="F15" s="6"/>
      <c r="G15" s="6"/>
    </row>
    <row r="16" spans="1:7" ht="15" customHeight="1" x14ac:dyDescent="0.3">
      <c r="A16" s="23" t="s">
        <v>128</v>
      </c>
      <c r="B16" s="23"/>
      <c r="C16" s="23"/>
      <c r="D16" s="23"/>
      <c r="E16" s="23"/>
      <c r="F16" s="23"/>
    </row>
    <row r="17" spans="1:7" ht="16.05" customHeight="1" x14ac:dyDescent="0.3">
      <c r="A17" s="24" t="s">
        <v>129</v>
      </c>
      <c r="B17" s="33">
        <f>B59</f>
        <v>53000</v>
      </c>
      <c r="C17" s="33">
        <f>C59</f>
        <v>70000</v>
      </c>
      <c r="D17" s="33">
        <f>D59</f>
        <v>81999.399999999994</v>
      </c>
      <c r="E17" s="33">
        <f>E59</f>
        <v>99997.800019999995</v>
      </c>
      <c r="F17" s="33">
        <f>F59</f>
        <v>125595.720046</v>
      </c>
      <c r="G17" s="6"/>
    </row>
    <row r="18" spans="1:7" ht="16.05" customHeight="1" x14ac:dyDescent="0.3">
      <c r="A18" s="27" t="s">
        <v>130</v>
      </c>
      <c r="B18" s="39">
        <f>B66</f>
        <v>64996</v>
      </c>
      <c r="C18" s="39">
        <f>C66</f>
        <v>102987.79999999999</v>
      </c>
      <c r="D18" s="39">
        <f>D66</f>
        <v>144986.44999999998</v>
      </c>
      <c r="E18" s="39">
        <f>E66</f>
        <v>196183.090042</v>
      </c>
      <c r="F18" s="39">
        <f>F66</f>
        <v>263538.72209659999</v>
      </c>
      <c r="G18" s="8"/>
    </row>
    <row r="19" spans="1:7" ht="16.05" customHeight="1" x14ac:dyDescent="0.3">
      <c r="A19" s="24" t="s">
        <v>131</v>
      </c>
      <c r="B19" s="33">
        <f>Assumptions!B48+12000</f>
        <v>12000</v>
      </c>
      <c r="C19" s="33">
        <f>B19</f>
        <v>12000</v>
      </c>
      <c r="D19" s="33">
        <f>C19</f>
        <v>12000</v>
      </c>
      <c r="E19" s="33">
        <f>D19</f>
        <v>12000</v>
      </c>
      <c r="F19" s="33">
        <f>E19</f>
        <v>12000</v>
      </c>
      <c r="G19" s="6"/>
    </row>
    <row r="20" spans="1:7" ht="7.05" customHeight="1" x14ac:dyDescent="0.3">
      <c r="A20" s="6"/>
      <c r="B20" s="6"/>
      <c r="C20" s="6"/>
      <c r="D20" s="6"/>
      <c r="E20" s="6"/>
      <c r="F20" s="6"/>
      <c r="G20" s="6"/>
    </row>
    <row r="21" spans="1:7" ht="16.95" customHeight="1" x14ac:dyDescent="0.3">
      <c r="A21" s="41" t="s">
        <v>132</v>
      </c>
      <c r="B21" s="42">
        <f>B17+B18+B19</f>
        <v>129996</v>
      </c>
      <c r="C21" s="42">
        <f>C17+C18+C19</f>
        <v>184987.8</v>
      </c>
      <c r="D21" s="42">
        <f>D17+D18+D19</f>
        <v>238985.84999999998</v>
      </c>
      <c r="E21" s="42">
        <f>E17+E18+E19</f>
        <v>308180.89006200002</v>
      </c>
      <c r="F21" s="42">
        <f>F17+F18+F19</f>
        <v>401134.44214259996</v>
      </c>
      <c r="G21" s="43"/>
    </row>
    <row r="22" spans="1:7" ht="7.05" customHeight="1" x14ac:dyDescent="0.3">
      <c r="A22" s="6"/>
      <c r="B22" s="6"/>
      <c r="C22" s="6"/>
      <c r="D22" s="6"/>
      <c r="E22" s="6"/>
      <c r="F22" s="6"/>
      <c r="G22" s="6"/>
    </row>
    <row r="23" spans="1:7" ht="18" customHeight="1" x14ac:dyDescent="0.3">
      <c r="A23" s="52" t="s">
        <v>133</v>
      </c>
      <c r="B23" s="53">
        <f>B14+B21</f>
        <v>553071.23287671234</v>
      </c>
      <c r="C23" s="53">
        <f>C14+C21</f>
        <v>1059995.7175342464</v>
      </c>
      <c r="D23" s="53">
        <f>D14+D21</f>
        <v>1848196.224463406</v>
      </c>
      <c r="E23" s="53">
        <f>E14+E21</f>
        <v>2949370.0117411208</v>
      </c>
      <c r="F23" s="53">
        <f>F14+F21</f>
        <v>4356533.7837045984</v>
      </c>
      <c r="G23" s="49"/>
    </row>
    <row r="24" spans="1:7" ht="7.05" customHeight="1" x14ac:dyDescent="0.3">
      <c r="A24" s="6"/>
      <c r="B24" s="6"/>
      <c r="C24" s="6"/>
      <c r="D24" s="6"/>
      <c r="E24" s="6"/>
      <c r="F24" s="6"/>
      <c r="G24" s="6"/>
    </row>
    <row r="25" spans="1:7" ht="7.05" customHeight="1" x14ac:dyDescent="0.3">
      <c r="A25" s="6"/>
      <c r="B25" s="6"/>
      <c r="C25" s="6"/>
      <c r="D25" s="6"/>
      <c r="E25" s="6"/>
      <c r="F25" s="6"/>
      <c r="G25" s="6"/>
    </row>
    <row r="26" spans="1:7" ht="15" customHeight="1" x14ac:dyDescent="0.3">
      <c r="A26" s="55" t="s">
        <v>134</v>
      </c>
      <c r="B26" s="55"/>
      <c r="C26" s="55"/>
      <c r="D26" s="55"/>
      <c r="E26" s="55"/>
      <c r="F26" s="55"/>
    </row>
    <row r="27" spans="1:7" ht="15" customHeight="1" x14ac:dyDescent="0.3">
      <c r="A27" s="23" t="s">
        <v>135</v>
      </c>
      <c r="B27" s="23"/>
      <c r="C27" s="23"/>
      <c r="D27" s="23"/>
      <c r="E27" s="23"/>
      <c r="F27" s="23"/>
    </row>
    <row r="28" spans="1:7" ht="16.05" customHeight="1" x14ac:dyDescent="0.3">
      <c r="A28" s="24" t="s">
        <v>82</v>
      </c>
      <c r="B28" s="33">
        <f>'Income Statement'!B16*Assumptions!B33/365</f>
        <v>23671.232876712329</v>
      </c>
      <c r="C28" s="33">
        <f>'Income Statement'!C16*Assumptions!C33/365</f>
        <v>29589.041095890407</v>
      </c>
      <c r="D28" s="33">
        <f>'Income Statement'!D16*Assumptions!D33/365</f>
        <v>39451.068493150677</v>
      </c>
      <c r="E28" s="33">
        <f>'Income Statement'!E16*Assumptions!E33/365</f>
        <v>52600.109621917793</v>
      </c>
      <c r="F28" s="33">
        <f>'Income Statement'!F16*Assumptions!F33/365</f>
        <v>68380.142508493125</v>
      </c>
      <c r="G28" s="6"/>
    </row>
    <row r="29" spans="1:7" ht="16.05" customHeight="1" x14ac:dyDescent="0.3">
      <c r="A29" s="27" t="s">
        <v>83</v>
      </c>
      <c r="B29" s="39">
        <f>'Income Statement'!B12*Assumptions!B35</f>
        <v>66000</v>
      </c>
      <c r="C29" s="39">
        <f>'Income Statement'!C12*Assumptions!C35</f>
        <v>99000</v>
      </c>
      <c r="D29" s="39">
        <f>'Income Statement'!D12*Assumptions!D35</f>
        <v>131996.70000000001</v>
      </c>
      <c r="E29" s="39">
        <f>'Income Statement'!E12*Assumptions!E35</f>
        <v>175991.20011000001</v>
      </c>
      <c r="F29" s="39">
        <f>'Income Statement'!F12*Assumptions!F35</f>
        <v>228788.56014299998</v>
      </c>
      <c r="G29" s="8"/>
    </row>
    <row r="30" spans="1:7" ht="16.05" customHeight="1" x14ac:dyDescent="0.3">
      <c r="A30" s="24" t="s">
        <v>136</v>
      </c>
      <c r="B30" s="33">
        <f>'Income Statement'!B9*Assumptions!B34</f>
        <v>135000</v>
      </c>
      <c r="C30" s="33">
        <f>'Income Statement'!C9*Assumptions!C34</f>
        <v>202500</v>
      </c>
      <c r="D30" s="33">
        <f>'Income Statement'!D9*Assumptions!D34</f>
        <v>269993.25</v>
      </c>
      <c r="E30" s="33">
        <f>'Income Statement'!E9*Assumptions!E34</f>
        <v>359982.00022499997</v>
      </c>
      <c r="F30" s="33">
        <f>'Income Statement'!F9*Assumptions!F34</f>
        <v>467976.60029249999</v>
      </c>
      <c r="G30" s="6"/>
    </row>
    <row r="31" spans="1:7" ht="7.05" customHeight="1" x14ac:dyDescent="0.3">
      <c r="A31" s="6"/>
      <c r="B31" s="6"/>
      <c r="C31" s="6"/>
      <c r="D31" s="6"/>
      <c r="E31" s="6"/>
      <c r="F31" s="6"/>
      <c r="G31" s="6"/>
    </row>
    <row r="32" spans="1:7" ht="16.95" customHeight="1" x14ac:dyDescent="0.3">
      <c r="A32" s="41" t="s">
        <v>137</v>
      </c>
      <c r="B32" s="42">
        <f>B28+B29+B30</f>
        <v>224671.23287671234</v>
      </c>
      <c r="C32" s="42">
        <f>C28+C29+C30</f>
        <v>331089.0410958904</v>
      </c>
      <c r="D32" s="42">
        <f>D28+D29+D30</f>
        <v>441441.01849315071</v>
      </c>
      <c r="E32" s="42">
        <f>E28+E29+E30</f>
        <v>588573.30995691777</v>
      </c>
      <c r="F32" s="42">
        <f>F28+F29+F30</f>
        <v>765145.30294399313</v>
      </c>
      <c r="G32" s="43"/>
    </row>
    <row r="33" spans="1:7" ht="7.05" customHeight="1" x14ac:dyDescent="0.3">
      <c r="A33" s="6"/>
      <c r="B33" s="6"/>
      <c r="C33" s="6"/>
      <c r="D33" s="6"/>
      <c r="E33" s="6"/>
      <c r="F33" s="6"/>
      <c r="G33" s="6"/>
    </row>
    <row r="34" spans="1:7" ht="15" customHeight="1" x14ac:dyDescent="0.3">
      <c r="A34" s="23" t="s">
        <v>138</v>
      </c>
      <c r="B34" s="23"/>
      <c r="C34" s="23"/>
      <c r="D34" s="23"/>
      <c r="E34" s="23"/>
      <c r="F34" s="23"/>
    </row>
    <row r="35" spans="1:7" ht="16.05" customHeight="1" x14ac:dyDescent="0.3">
      <c r="A35" s="24" t="s">
        <v>139</v>
      </c>
      <c r="B35" s="33">
        <f>0</f>
        <v>0</v>
      </c>
      <c r="C35" s="33">
        <f>0</f>
        <v>0</v>
      </c>
      <c r="D35" s="33">
        <f>0</f>
        <v>0</v>
      </c>
      <c r="E35" s="33">
        <f>0</f>
        <v>0</v>
      </c>
      <c r="F35" s="33">
        <f>0</f>
        <v>0</v>
      </c>
      <c r="G35" s="6"/>
    </row>
    <row r="36" spans="1:7" ht="16.05" customHeight="1" x14ac:dyDescent="0.3">
      <c r="A36" s="27" t="s">
        <v>140</v>
      </c>
      <c r="B36" s="39">
        <f>0</f>
        <v>0</v>
      </c>
      <c r="C36" s="39">
        <f>0</f>
        <v>0</v>
      </c>
      <c r="D36" s="39">
        <f>0</f>
        <v>0</v>
      </c>
      <c r="E36" s="39">
        <f>0</f>
        <v>0</v>
      </c>
      <c r="F36" s="39">
        <f>0</f>
        <v>0</v>
      </c>
      <c r="G36" s="8"/>
    </row>
    <row r="37" spans="1:7" ht="7.05" customHeight="1" x14ac:dyDescent="0.3">
      <c r="A37" s="6"/>
      <c r="B37" s="6"/>
      <c r="C37" s="6"/>
      <c r="D37" s="6"/>
      <c r="E37" s="6"/>
      <c r="F37" s="6"/>
      <c r="G37" s="6"/>
    </row>
    <row r="38" spans="1:7" ht="16.95" customHeight="1" x14ac:dyDescent="0.3">
      <c r="A38" s="41" t="s">
        <v>141</v>
      </c>
      <c r="B38" s="42">
        <f>B35+B36</f>
        <v>0</v>
      </c>
      <c r="C38" s="42">
        <f>C35+C36</f>
        <v>0</v>
      </c>
      <c r="D38" s="42">
        <f>D35+D36</f>
        <v>0</v>
      </c>
      <c r="E38" s="42">
        <f>E35+E36</f>
        <v>0</v>
      </c>
      <c r="F38" s="42">
        <f>F35+F36</f>
        <v>0</v>
      </c>
      <c r="G38" s="43"/>
    </row>
    <row r="39" spans="1:7" ht="7.05" customHeight="1" x14ac:dyDescent="0.3">
      <c r="A39" s="6"/>
      <c r="B39" s="6"/>
      <c r="C39" s="6"/>
      <c r="D39" s="6"/>
      <c r="E39" s="6"/>
      <c r="F39" s="6"/>
      <c r="G39" s="6"/>
    </row>
    <row r="40" spans="1:7" ht="18" customHeight="1" x14ac:dyDescent="0.3">
      <c r="A40" s="47" t="s">
        <v>142</v>
      </c>
      <c r="B40" s="48">
        <f>B32+B38</f>
        <v>224671.23287671234</v>
      </c>
      <c r="C40" s="48">
        <f>C32+C38</f>
        <v>331089.0410958904</v>
      </c>
      <c r="D40" s="48">
        <f>D32+D38</f>
        <v>441441.01849315071</v>
      </c>
      <c r="E40" s="48">
        <f>E32+E38</f>
        <v>588573.30995691777</v>
      </c>
      <c r="F40" s="48">
        <f>F32+F38</f>
        <v>765145.30294399313</v>
      </c>
      <c r="G40" s="49"/>
    </row>
    <row r="41" spans="1:7" ht="7.05" customHeight="1" x14ac:dyDescent="0.3">
      <c r="A41" s="6"/>
      <c r="B41" s="6"/>
      <c r="C41" s="6"/>
      <c r="D41" s="6"/>
      <c r="E41" s="6"/>
      <c r="F41" s="6"/>
      <c r="G41" s="6"/>
    </row>
    <row r="42" spans="1:7" ht="15" customHeight="1" x14ac:dyDescent="0.3">
      <c r="A42" s="23" t="s">
        <v>143</v>
      </c>
      <c r="B42" s="23"/>
      <c r="C42" s="23"/>
      <c r="D42" s="23"/>
      <c r="E42" s="23"/>
      <c r="F42" s="23"/>
    </row>
    <row r="43" spans="1:7" ht="16.05" customHeight="1" x14ac:dyDescent="0.3">
      <c r="A43" s="24" t="s">
        <v>144</v>
      </c>
      <c r="B43" s="33">
        <f>Assumptions!B52</f>
        <v>500000</v>
      </c>
      <c r="C43" s="33">
        <f>Assumptions!B52</f>
        <v>500000</v>
      </c>
      <c r="D43" s="33">
        <f>Assumptions!B52</f>
        <v>500000</v>
      </c>
      <c r="E43" s="33">
        <f>Assumptions!B52</f>
        <v>500000</v>
      </c>
      <c r="F43" s="33">
        <f>Assumptions!B52</f>
        <v>500000</v>
      </c>
      <c r="G43" s="6"/>
    </row>
    <row r="44" spans="1:7" ht="16.05" customHeight="1" x14ac:dyDescent="0.3">
      <c r="A44" s="27" t="s">
        <v>86</v>
      </c>
      <c r="B44" s="51">
        <f>Assumptions!B53+'Income Statement'!B42</f>
        <v>-171600</v>
      </c>
      <c r="C44" s="51">
        <f>B44+'Income Statement'!C42</f>
        <v>228906.67643835617</v>
      </c>
      <c r="D44" s="51">
        <f>C44+'Income Statement'!D42</f>
        <v>906755.20597025543</v>
      </c>
      <c r="E44" s="51">
        <f>D44+'Income Statement'!E42</f>
        <v>1860796.7017842028</v>
      </c>
      <c r="F44" s="51">
        <f>E44+'Income Statement'!F42</f>
        <v>3091388.480760606</v>
      </c>
      <c r="G44" s="8"/>
    </row>
    <row r="45" spans="1:7" ht="7.05" customHeight="1" x14ac:dyDescent="0.3">
      <c r="A45" s="6"/>
      <c r="B45" s="6"/>
      <c r="C45" s="6"/>
      <c r="D45" s="6"/>
      <c r="E45" s="6"/>
      <c r="F45" s="6"/>
      <c r="G45" s="6"/>
    </row>
    <row r="46" spans="1:7" ht="16.95" customHeight="1" x14ac:dyDescent="0.3">
      <c r="A46" s="41" t="s">
        <v>145</v>
      </c>
      <c r="B46" s="42">
        <f>B43+B44</f>
        <v>328400</v>
      </c>
      <c r="C46" s="42">
        <f>C43+C44</f>
        <v>728906.67643835617</v>
      </c>
      <c r="D46" s="42">
        <f>D43+D44</f>
        <v>1406755.2059702554</v>
      </c>
      <c r="E46" s="42">
        <f>E43+E44</f>
        <v>2360796.7017842028</v>
      </c>
      <c r="F46" s="42">
        <f>F43+F44</f>
        <v>3591388.480760606</v>
      </c>
      <c r="G46" s="43"/>
    </row>
    <row r="47" spans="1:7" ht="7.05" customHeight="1" x14ac:dyDescent="0.3">
      <c r="A47" s="6"/>
      <c r="B47" s="6"/>
      <c r="C47" s="6"/>
      <c r="D47" s="6"/>
      <c r="E47" s="6"/>
      <c r="F47" s="6"/>
      <c r="G47" s="6"/>
    </row>
    <row r="48" spans="1:7" ht="18" customHeight="1" x14ac:dyDescent="0.3">
      <c r="A48" s="52" t="s">
        <v>146</v>
      </c>
      <c r="B48" s="53">
        <f>B40+B46</f>
        <v>553071.23287671234</v>
      </c>
      <c r="C48" s="53">
        <f>C40+C46</f>
        <v>1059995.7175342466</v>
      </c>
      <c r="D48" s="53">
        <f>D40+D46</f>
        <v>1848196.224463406</v>
      </c>
      <c r="E48" s="53">
        <f>E40+E46</f>
        <v>2949370.0117411204</v>
      </c>
      <c r="F48" s="53">
        <f>F40+F46</f>
        <v>4356533.7837045994</v>
      </c>
      <c r="G48" s="49"/>
    </row>
    <row r="49" spans="1:7" ht="7.05" customHeight="1" x14ac:dyDescent="0.3">
      <c r="A49" s="6"/>
      <c r="B49" s="6"/>
      <c r="C49" s="6"/>
      <c r="D49" s="6"/>
      <c r="E49" s="6"/>
      <c r="F49" s="6"/>
      <c r="G49" s="6"/>
    </row>
    <row r="50" spans="1:7" ht="15" customHeight="1" x14ac:dyDescent="0.3">
      <c r="A50" s="54" t="s">
        <v>147</v>
      </c>
      <c r="B50" s="54"/>
      <c r="C50" s="54"/>
      <c r="D50" s="54"/>
      <c r="E50" s="54"/>
      <c r="F50" s="54"/>
    </row>
    <row r="51" spans="1:7" ht="16.05" customHeight="1" x14ac:dyDescent="0.3">
      <c r="A51" s="56" t="s">
        <v>148</v>
      </c>
      <c r="B51" s="57">
        <f>B23-B48</f>
        <v>0</v>
      </c>
      <c r="C51" s="57">
        <f>C23-C48</f>
        <v>0</v>
      </c>
      <c r="D51" s="57">
        <f>D23-D48</f>
        <v>0</v>
      </c>
      <c r="E51" s="57">
        <f>E23-E48</f>
        <v>0</v>
      </c>
      <c r="F51" s="57">
        <f>F23-F48</f>
        <v>0</v>
      </c>
      <c r="G51" s="58"/>
    </row>
    <row r="52" spans="1:7" ht="7.05" customHeight="1" x14ac:dyDescent="0.3">
      <c r="A52" s="6"/>
      <c r="B52" s="6"/>
      <c r="C52" s="6"/>
      <c r="D52" s="6"/>
      <c r="E52" s="6"/>
      <c r="F52" s="6"/>
      <c r="G52" s="6"/>
    </row>
    <row r="53" spans="1:7" ht="7.05" customHeight="1" x14ac:dyDescent="0.3">
      <c r="A53" s="6"/>
      <c r="B53" s="6"/>
      <c r="C53" s="6"/>
      <c r="D53" s="6"/>
      <c r="E53" s="6"/>
      <c r="F53" s="6"/>
      <c r="G53" s="6"/>
    </row>
    <row r="54" spans="1:7" ht="15" customHeight="1" x14ac:dyDescent="0.3">
      <c r="A54" s="55" t="s">
        <v>149</v>
      </c>
      <c r="B54" s="55"/>
      <c r="C54" s="55"/>
      <c r="D54" s="55"/>
      <c r="E54" s="55"/>
      <c r="F54" s="55"/>
    </row>
    <row r="55" spans="1:7" ht="15" customHeight="1" x14ac:dyDescent="0.3">
      <c r="A55" s="23" t="s">
        <v>150</v>
      </c>
      <c r="B55" s="23"/>
      <c r="C55" s="23"/>
      <c r="D55" s="23"/>
      <c r="E55" s="23"/>
      <c r="F55" s="23"/>
    </row>
    <row r="56" spans="1:7" ht="16.05" customHeight="1" x14ac:dyDescent="0.3">
      <c r="A56" s="24" t="s">
        <v>151</v>
      </c>
      <c r="B56" s="33">
        <f>Assumptions!B46</f>
        <v>36000</v>
      </c>
      <c r="C56" s="33">
        <f>B59</f>
        <v>53000</v>
      </c>
      <c r="D56" s="33">
        <f>C59</f>
        <v>70000</v>
      </c>
      <c r="E56" s="33">
        <f>D59</f>
        <v>81999.399999999994</v>
      </c>
      <c r="F56" s="33">
        <f>E59</f>
        <v>99997.800019999995</v>
      </c>
      <c r="G56" s="6"/>
    </row>
    <row r="57" spans="1:7" ht="16.05" customHeight="1" x14ac:dyDescent="0.3">
      <c r="A57" s="27" t="s">
        <v>152</v>
      </c>
      <c r="B57" s="39">
        <f>'Income Statement'!B12*Assumptions!B28</f>
        <v>24000</v>
      </c>
      <c r="C57" s="39">
        <f>'Income Statement'!C12*Assumptions!C28</f>
        <v>27000</v>
      </c>
      <c r="D57" s="39">
        <f>'Income Statement'!D12*Assumptions!D28</f>
        <v>23999.4</v>
      </c>
      <c r="E57" s="39">
        <f>'Income Statement'!E12*Assumptions!E28</f>
        <v>31998.400020000001</v>
      </c>
      <c r="F57" s="39">
        <f>'Income Statement'!F12*Assumptions!F28</f>
        <v>41597.920026</v>
      </c>
      <c r="G57" s="8"/>
    </row>
    <row r="58" spans="1:7" ht="16.05" customHeight="1" x14ac:dyDescent="0.3">
      <c r="A58" s="24" t="s">
        <v>153</v>
      </c>
      <c r="B58" s="33">
        <f>Assumptions!B25</f>
        <v>7000</v>
      </c>
      <c r="C58" s="33">
        <f>Assumptions!C25</f>
        <v>10000</v>
      </c>
      <c r="D58" s="33">
        <f>Assumptions!D25</f>
        <v>12000</v>
      </c>
      <c r="E58" s="33">
        <f>Assumptions!E25</f>
        <v>14000</v>
      </c>
      <c r="F58" s="33">
        <f>Assumptions!F25</f>
        <v>16000</v>
      </c>
      <c r="G58" s="6"/>
    </row>
    <row r="59" spans="1:7" ht="16.95" customHeight="1" x14ac:dyDescent="0.3">
      <c r="A59" s="41" t="s">
        <v>154</v>
      </c>
      <c r="B59" s="42">
        <f>B56+B57-B58</f>
        <v>53000</v>
      </c>
      <c r="C59" s="42">
        <f>C56+C57-C58</f>
        <v>70000</v>
      </c>
      <c r="D59" s="42">
        <f>D56+D57-D58</f>
        <v>81999.399999999994</v>
      </c>
      <c r="E59" s="42">
        <f>E56+E57-E58</f>
        <v>99997.800019999995</v>
      </c>
      <c r="F59" s="42">
        <f>F56+F57-F58</f>
        <v>125595.720046</v>
      </c>
      <c r="G59" s="43"/>
    </row>
    <row r="60" spans="1:7" ht="7.05" customHeight="1" x14ac:dyDescent="0.3">
      <c r="A60" s="6"/>
      <c r="B60" s="6"/>
      <c r="C60" s="6"/>
      <c r="D60" s="6"/>
      <c r="E60" s="6"/>
      <c r="F60" s="6"/>
      <c r="G60" s="6"/>
    </row>
    <row r="61" spans="1:7" ht="7.05" customHeight="1" x14ac:dyDescent="0.3">
      <c r="A61" s="6"/>
      <c r="B61" s="6"/>
      <c r="C61" s="6"/>
      <c r="D61" s="6"/>
      <c r="E61" s="6"/>
      <c r="F61" s="6"/>
      <c r="G61" s="6"/>
    </row>
    <row r="62" spans="1:7" ht="15" customHeight="1" x14ac:dyDescent="0.3">
      <c r="A62" s="23" t="s">
        <v>155</v>
      </c>
      <c r="B62" s="23"/>
      <c r="C62" s="23"/>
      <c r="D62" s="23"/>
      <c r="E62" s="23"/>
      <c r="F62" s="23"/>
    </row>
    <row r="63" spans="1:7" ht="16.05" customHeight="1" x14ac:dyDescent="0.3">
      <c r="A63" s="24" t="s">
        <v>156</v>
      </c>
      <c r="B63" s="33">
        <f>Assumptions!B47</f>
        <v>30000</v>
      </c>
      <c r="C63" s="33">
        <f>B66</f>
        <v>64996</v>
      </c>
      <c r="D63" s="33">
        <f>C66</f>
        <v>102987.79999999999</v>
      </c>
      <c r="E63" s="33">
        <f>D66</f>
        <v>144986.44999999998</v>
      </c>
      <c r="F63" s="33">
        <f>E66</f>
        <v>196183.090042</v>
      </c>
      <c r="G63" s="6"/>
    </row>
    <row r="64" spans="1:7" ht="16.05" customHeight="1" x14ac:dyDescent="0.3">
      <c r="A64" s="27" t="s">
        <v>157</v>
      </c>
      <c r="B64" s="39">
        <f>'Income Statement'!B23*Assumptions!B29</f>
        <v>39996</v>
      </c>
      <c r="C64" s="39">
        <f>'Income Statement'!C23*Assumptions!C29</f>
        <v>45991.799999999996</v>
      </c>
      <c r="D64" s="39">
        <f>'Income Statement'!D23*Assumptions!D29</f>
        <v>53998.65</v>
      </c>
      <c r="E64" s="39">
        <f>'Income Statement'!E23*Assumptions!E29</f>
        <v>67196.640041999999</v>
      </c>
      <c r="F64" s="39">
        <f>'Income Statement'!F23*Assumptions!F29</f>
        <v>87355.632054599992</v>
      </c>
      <c r="G64" s="8"/>
    </row>
    <row r="65" spans="1:7" ht="16.05" customHeight="1" x14ac:dyDescent="0.3">
      <c r="A65" s="24" t="s">
        <v>158</v>
      </c>
      <c r="B65" s="33">
        <f>Assumptions!B26</f>
        <v>5000</v>
      </c>
      <c r="C65" s="33">
        <f>Assumptions!C26</f>
        <v>8000</v>
      </c>
      <c r="D65" s="33">
        <f>Assumptions!D26</f>
        <v>12000</v>
      </c>
      <c r="E65" s="33">
        <f>Assumptions!E26</f>
        <v>16000</v>
      </c>
      <c r="F65" s="33">
        <f>Assumptions!F26</f>
        <v>20000</v>
      </c>
      <c r="G65" s="6"/>
    </row>
    <row r="66" spans="1:7" ht="16.95" customHeight="1" x14ac:dyDescent="0.3">
      <c r="A66" s="41" t="s">
        <v>159</v>
      </c>
      <c r="B66" s="42">
        <f>B63+B64-B65</f>
        <v>64996</v>
      </c>
      <c r="C66" s="42">
        <f>C63+C64-C65</f>
        <v>102987.79999999999</v>
      </c>
      <c r="D66" s="42">
        <f>D63+D64-D65</f>
        <v>144986.44999999998</v>
      </c>
      <c r="E66" s="42">
        <f>E63+E64-E65</f>
        <v>196183.090042</v>
      </c>
      <c r="F66" s="42">
        <f>F63+F64-F65</f>
        <v>263538.72209659999</v>
      </c>
      <c r="G66" s="43"/>
    </row>
    <row r="67" spans="1:7" ht="7.05" customHeight="1" x14ac:dyDescent="0.3">
      <c r="A67" s="6"/>
      <c r="B67" s="6"/>
      <c r="C67" s="6"/>
      <c r="D67" s="6"/>
      <c r="E67" s="6"/>
      <c r="F67" s="6"/>
      <c r="G67" s="6"/>
    </row>
    <row r="68" spans="1:7" ht="71.400000000000006" x14ac:dyDescent="0.3">
      <c r="A68" s="37" t="s">
        <v>160</v>
      </c>
    </row>
  </sheetData>
  <sheetProtection algorithmName="SHA-512" hashValue="e0+waP+1SyzYS2dv7+8bMRKz55jlTQZBJsRai4CeWu77rCkA313E4VpWOXCZ4eeKZoPSxdtdisn86bDwWHbgfQ==" saltValue="AVlwfEjf8wK+0l0tCPHCuA==" spinCount="100000" sheet="1" objects="1" scenarios="1"/>
  <pageMargins left="0.5" right="0.5" top="0.75" bottom="0.75" header="0.5" footer="0.5"/>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A5298"/>
  </sheetPr>
  <dimension ref="A1:G48"/>
  <sheetViews>
    <sheetView showGridLines="0" workbookViewId="0">
      <pane xSplit="1" ySplit="6" topLeftCell="B32" activePane="bottomRight" state="frozen"/>
      <selection pane="topRight"/>
      <selection pane="bottomLeft"/>
      <selection pane="bottomRight"/>
    </sheetView>
  </sheetViews>
  <sheetFormatPr defaultRowHeight="14.4" x14ac:dyDescent="0.3"/>
  <cols>
    <col min="1" max="1" width="46" customWidth="1"/>
    <col min="2" max="6" width="14" customWidth="1"/>
  </cols>
  <sheetData>
    <row r="1" spans="1:7" ht="31.95" customHeight="1" x14ac:dyDescent="0.3">
      <c r="A1" s="19" t="s">
        <v>161</v>
      </c>
    </row>
    <row r="2" spans="1:7" ht="18" customHeight="1" x14ac:dyDescent="0.3">
      <c r="A2" s="20" t="s">
        <v>44</v>
      </c>
    </row>
    <row r="3" spans="1:7" ht="13.95" customHeight="1" x14ac:dyDescent="0.3">
      <c r="A3" s="21" t="s">
        <v>162</v>
      </c>
    </row>
    <row r="6" spans="1:7" ht="24" customHeight="1" x14ac:dyDescent="0.3">
      <c r="A6" s="22"/>
      <c r="B6" s="22" t="s">
        <v>25</v>
      </c>
      <c r="C6" s="22" t="s">
        <v>26</v>
      </c>
      <c r="D6" s="22" t="s">
        <v>27</v>
      </c>
      <c r="E6" s="22" t="s">
        <v>28</v>
      </c>
      <c r="F6" s="22" t="s">
        <v>29</v>
      </c>
    </row>
    <row r="7" spans="1:7" ht="7.05" customHeight="1" x14ac:dyDescent="0.3">
      <c r="A7" s="6"/>
      <c r="B7" s="6"/>
      <c r="C7" s="6"/>
      <c r="D7" s="6"/>
      <c r="E7" s="6"/>
      <c r="F7" s="6"/>
      <c r="G7" s="6"/>
    </row>
    <row r="8" spans="1:7" ht="15" customHeight="1" x14ac:dyDescent="0.3">
      <c r="A8" s="23" t="s">
        <v>163</v>
      </c>
      <c r="B8" s="23"/>
      <c r="C8" s="23"/>
      <c r="D8" s="23"/>
      <c r="E8" s="23"/>
      <c r="F8" s="23"/>
    </row>
    <row r="9" spans="1:7" ht="16.05" customHeight="1" x14ac:dyDescent="0.3">
      <c r="A9" s="24" t="s">
        <v>164</v>
      </c>
      <c r="B9" s="50">
        <f>'Income Statement'!B42</f>
        <v>2400</v>
      </c>
      <c r="C9" s="50">
        <f>'Income Statement'!C42</f>
        <v>400506.67643835617</v>
      </c>
      <c r="D9" s="50">
        <f>'Income Statement'!D42</f>
        <v>677848.52953189926</v>
      </c>
      <c r="E9" s="50">
        <f>'Income Statement'!E42</f>
        <v>954041.49581394729</v>
      </c>
      <c r="F9" s="50">
        <f>'Income Statement'!F42</f>
        <v>1230591.7789764032</v>
      </c>
      <c r="G9" s="6"/>
    </row>
    <row r="10" spans="1:7" ht="15" customHeight="1" x14ac:dyDescent="0.3">
      <c r="A10" s="59" t="s">
        <v>165</v>
      </c>
      <c r="B10" s="59"/>
      <c r="C10" s="59"/>
      <c r="D10" s="59"/>
      <c r="E10" s="59"/>
      <c r="F10" s="59"/>
    </row>
    <row r="11" spans="1:7" ht="16.05" customHeight="1" x14ac:dyDescent="0.3">
      <c r="A11" s="27" t="s">
        <v>166</v>
      </c>
      <c r="B11" s="51">
        <f>Assumptions!B27</f>
        <v>12000</v>
      </c>
      <c r="C11" s="51">
        <f>Assumptions!C27</f>
        <v>18000</v>
      </c>
      <c r="D11" s="51">
        <f>Assumptions!D27</f>
        <v>24000</v>
      </c>
      <c r="E11" s="51">
        <f>Assumptions!E27</f>
        <v>30000</v>
      </c>
      <c r="F11" s="51">
        <f>Assumptions!F27</f>
        <v>36000</v>
      </c>
      <c r="G11" s="8"/>
    </row>
    <row r="12" spans="1:7" ht="15" customHeight="1" x14ac:dyDescent="0.3">
      <c r="A12" s="59" t="s">
        <v>167</v>
      </c>
      <c r="B12" s="59"/>
      <c r="C12" s="59"/>
      <c r="D12" s="59"/>
      <c r="E12" s="59"/>
      <c r="F12" s="59"/>
    </row>
    <row r="13" spans="1:7" ht="16.05" customHeight="1" x14ac:dyDescent="0.3">
      <c r="A13" s="24" t="s">
        <v>168</v>
      </c>
      <c r="B13" s="33">
        <f>-('Income Statement'!B12*Assumptions!B32/365-Assumptions!B44)</f>
        <v>-10630.136986301368</v>
      </c>
      <c r="C13" s="33">
        <f>-('Income Statement'!C12*Assumptions!C32/365-'Income Statement'!B12*Assumptions!B32/365)</f>
        <v>-49315.068493150698</v>
      </c>
      <c r="D13" s="33">
        <f>-('Income Statement'!D12*Assumptions!D32/365-'Income Statement'!C12*Assumptions!C32/365)</f>
        <v>-49310.136986301368</v>
      </c>
      <c r="E13" s="33">
        <f>-('Income Statement'!E12*Assumptions!E32/365-'Income Statement'!D12*Assumptions!D32/365)</f>
        <v>-65745.205643835594</v>
      </c>
      <c r="F13" s="33">
        <f>-('Income Statement'!F12*Assumptions!F32/365-'Income Statement'!E12*Assumptions!E32/365)</f>
        <v>-78900.164432876685</v>
      </c>
      <c r="G13" s="6"/>
    </row>
    <row r="14" spans="1:7" ht="16.05" customHeight="1" x14ac:dyDescent="0.3">
      <c r="A14" s="27" t="s">
        <v>169</v>
      </c>
      <c r="B14" s="39">
        <f>-('Income Statement'!B12*Assumptions!B36-Assumptions!B45)</f>
        <v>-4000</v>
      </c>
      <c r="C14" s="39">
        <f>-('Income Statement'!C12*Assumptions!C36-'Income Statement'!B12*Assumptions!B36)</f>
        <v>-12000</v>
      </c>
      <c r="D14" s="39">
        <f>-('Income Statement'!D12*Assumptions!D36-'Income Statement'!C12*Assumptions!C36)</f>
        <v>-11998.800000000003</v>
      </c>
      <c r="E14" s="39">
        <f>-('Income Statement'!E12*Assumptions!E36-'Income Statement'!D12*Assumptions!D36)</f>
        <v>-15998.000039999999</v>
      </c>
      <c r="F14" s="39">
        <f>-('Income Statement'!F12*Assumptions!F36-'Income Statement'!E12*Assumptions!E36)</f>
        <v>-19199.040011999998</v>
      </c>
      <c r="G14" s="8"/>
    </row>
    <row r="15" spans="1:7" ht="16.05" customHeight="1" x14ac:dyDescent="0.3">
      <c r="A15" s="24" t="s">
        <v>170</v>
      </c>
      <c r="B15" s="33">
        <f>'Income Statement'!B16*Assumptions!B33/365-Assumptions!B49</f>
        <v>3671.232876712329</v>
      </c>
      <c r="C15" s="33">
        <f>'Income Statement'!C16*Assumptions!C33/365-'Income Statement'!B16*Assumptions!B33/365</f>
        <v>5917.8082191780777</v>
      </c>
      <c r="D15" s="33">
        <f>'Income Statement'!D16*Assumptions!D33/365-'Income Statement'!C16*Assumptions!C33/365</f>
        <v>9862.0273972602699</v>
      </c>
      <c r="E15" s="33">
        <f>'Income Statement'!E16*Assumptions!E33/365-'Income Statement'!D16*Assumptions!D33/365</f>
        <v>13149.041128767116</v>
      </c>
      <c r="F15" s="33">
        <f>'Income Statement'!F16*Assumptions!F33/365-'Income Statement'!E16*Assumptions!E33/365</f>
        <v>15780.032886575333</v>
      </c>
      <c r="G15" s="6"/>
    </row>
    <row r="16" spans="1:7" ht="16.05" customHeight="1" x14ac:dyDescent="0.3">
      <c r="A16" s="27" t="s">
        <v>171</v>
      </c>
      <c r="B16" s="39">
        <f>'Income Statement'!B12*Assumptions!B35-Assumptions!B50</f>
        <v>38000</v>
      </c>
      <c r="C16" s="39">
        <f>'Income Statement'!C12*Assumptions!C35-'Income Statement'!B12*Assumptions!B35</f>
        <v>33000</v>
      </c>
      <c r="D16" s="39">
        <f>'Income Statement'!D12*Assumptions!D35-'Income Statement'!C12*Assumptions!C35</f>
        <v>32996.700000000012</v>
      </c>
      <c r="E16" s="39">
        <f>'Income Statement'!E12*Assumptions!E35-'Income Statement'!D12*Assumptions!D35</f>
        <v>43994.500109999994</v>
      </c>
      <c r="F16" s="39">
        <f>'Income Statement'!F12*Assumptions!F35-'Income Statement'!E12*Assumptions!E35</f>
        <v>52797.360032999975</v>
      </c>
      <c r="G16" s="8"/>
    </row>
    <row r="17" spans="1:7" ht="16.05" customHeight="1" x14ac:dyDescent="0.3">
      <c r="A17" s="24" t="s">
        <v>172</v>
      </c>
      <c r="B17" s="33">
        <f>'Income Statement'!B9*Assumptions!B34-Assumptions!B51</f>
        <v>35000</v>
      </c>
      <c r="C17" s="33">
        <f>'Income Statement'!C9*Assumptions!C34-'Income Statement'!B9*Assumptions!B34</f>
        <v>67500</v>
      </c>
      <c r="D17" s="33">
        <f>'Income Statement'!D9*Assumptions!D34-'Income Statement'!C9*Assumptions!C34</f>
        <v>67493.25</v>
      </c>
      <c r="E17" s="33">
        <f>'Income Statement'!E9*Assumptions!E34-'Income Statement'!D9*Assumptions!D34</f>
        <v>89988.750224999967</v>
      </c>
      <c r="F17" s="33">
        <f>'Income Statement'!F9*Assumptions!F34-'Income Statement'!E9*Assumptions!E34</f>
        <v>107994.60006750003</v>
      </c>
      <c r="G17" s="6"/>
    </row>
    <row r="18" spans="1:7" ht="7.05" customHeight="1" x14ac:dyDescent="0.3">
      <c r="A18" s="6"/>
      <c r="B18" s="6"/>
      <c r="C18" s="6"/>
      <c r="D18" s="6"/>
      <c r="E18" s="6"/>
      <c r="F18" s="6"/>
      <c r="G18" s="6"/>
    </row>
    <row r="19" spans="1:7" ht="18" customHeight="1" x14ac:dyDescent="0.3">
      <c r="A19" s="47" t="s">
        <v>173</v>
      </c>
      <c r="B19" s="48">
        <f>SUM(B9:B17)</f>
        <v>76441.095890410958</v>
      </c>
      <c r="C19" s="48">
        <f>SUM(C9:C17)</f>
        <v>463609.41616438353</v>
      </c>
      <c r="D19" s="48">
        <f>SUM(D9:D17)</f>
        <v>750891.56994285807</v>
      </c>
      <c r="E19" s="48">
        <f>SUM(E9:E17)</f>
        <v>1049430.5815938788</v>
      </c>
      <c r="F19" s="48">
        <f>SUM(F9:F17)</f>
        <v>1345064.5675186019</v>
      </c>
      <c r="G19" s="49"/>
    </row>
    <row r="20" spans="1:7" ht="7.05" customHeight="1" x14ac:dyDescent="0.3">
      <c r="A20" s="6"/>
      <c r="B20" s="6"/>
      <c r="C20" s="6"/>
      <c r="D20" s="6"/>
      <c r="E20" s="6"/>
      <c r="F20" s="6"/>
      <c r="G20" s="6"/>
    </row>
    <row r="21" spans="1:7" ht="7.05" customHeight="1" x14ac:dyDescent="0.3">
      <c r="A21" s="6"/>
      <c r="B21" s="6"/>
      <c r="C21" s="6"/>
      <c r="D21" s="6"/>
      <c r="E21" s="6"/>
      <c r="F21" s="6"/>
      <c r="G21" s="6"/>
    </row>
    <row r="22" spans="1:7" ht="15" customHeight="1" x14ac:dyDescent="0.3">
      <c r="A22" s="23" t="s">
        <v>174</v>
      </c>
      <c r="B22" s="23"/>
      <c r="C22" s="23"/>
      <c r="D22" s="23"/>
      <c r="E22" s="23"/>
      <c r="F22" s="23"/>
    </row>
    <row r="23" spans="1:7" ht="16.05" customHeight="1" x14ac:dyDescent="0.3">
      <c r="A23" s="24" t="s">
        <v>175</v>
      </c>
      <c r="B23" s="33">
        <f>-'Income Statement'!B12*Assumptions!B28</f>
        <v>-24000</v>
      </c>
      <c r="C23" s="33">
        <f>-'Income Statement'!C12*Assumptions!C28</f>
        <v>-27000</v>
      </c>
      <c r="D23" s="33">
        <f>-'Income Statement'!D12*Assumptions!D28</f>
        <v>-23999.4</v>
      </c>
      <c r="E23" s="33">
        <f>-'Income Statement'!E12*Assumptions!E28</f>
        <v>-31998.400020000001</v>
      </c>
      <c r="F23" s="33">
        <f>-'Income Statement'!F12*Assumptions!F28</f>
        <v>-41597.920026</v>
      </c>
      <c r="G23" s="6"/>
    </row>
    <row r="24" spans="1:7" ht="16.05" customHeight="1" x14ac:dyDescent="0.3">
      <c r="A24" s="27" t="s">
        <v>176</v>
      </c>
      <c r="B24" s="39">
        <f>-'Income Statement'!B23*Assumptions!B29</f>
        <v>-39996</v>
      </c>
      <c r="C24" s="39">
        <f>-'Income Statement'!C23*Assumptions!C29</f>
        <v>-45991.799999999996</v>
      </c>
      <c r="D24" s="39">
        <f>-'Income Statement'!D23*Assumptions!D29</f>
        <v>-53998.65</v>
      </c>
      <c r="E24" s="39">
        <f>-'Income Statement'!E23*Assumptions!E29</f>
        <v>-67196.640041999999</v>
      </c>
      <c r="F24" s="39">
        <f>-'Income Statement'!F23*Assumptions!F29</f>
        <v>-87355.632054599992</v>
      </c>
      <c r="G24" s="8"/>
    </row>
    <row r="25" spans="1:7" ht="16.05" customHeight="1" x14ac:dyDescent="0.3">
      <c r="A25" s="24" t="s">
        <v>177</v>
      </c>
      <c r="B25" s="33">
        <f>-12000</f>
        <v>-12000</v>
      </c>
      <c r="C25" s="33">
        <f>0</f>
        <v>0</v>
      </c>
      <c r="D25" s="33">
        <f>0</f>
        <v>0</v>
      </c>
      <c r="E25" s="33">
        <f>0</f>
        <v>0</v>
      </c>
      <c r="F25" s="33">
        <f>0</f>
        <v>0</v>
      </c>
      <c r="G25" s="6"/>
    </row>
    <row r="26" spans="1:7" ht="7.05" customHeight="1" x14ac:dyDescent="0.3">
      <c r="A26" s="6"/>
      <c r="B26" s="6"/>
      <c r="C26" s="6"/>
      <c r="D26" s="6"/>
      <c r="E26" s="6"/>
      <c r="F26" s="6"/>
      <c r="G26" s="6"/>
    </row>
    <row r="27" spans="1:7" ht="18" customHeight="1" x14ac:dyDescent="0.3">
      <c r="A27" s="47" t="s">
        <v>178</v>
      </c>
      <c r="B27" s="48">
        <f>SUM(B23:B25)</f>
        <v>-75996</v>
      </c>
      <c r="C27" s="48">
        <f>SUM(C23:C25)</f>
        <v>-72991.799999999988</v>
      </c>
      <c r="D27" s="48">
        <f>SUM(D23:D25)</f>
        <v>-77998.05</v>
      </c>
      <c r="E27" s="48">
        <f>SUM(E23:E25)</f>
        <v>-99195.040062</v>
      </c>
      <c r="F27" s="48">
        <f>SUM(F23:F25)</f>
        <v>-128953.5520806</v>
      </c>
      <c r="G27" s="49"/>
    </row>
    <row r="28" spans="1:7" ht="7.05" customHeight="1" x14ac:dyDescent="0.3">
      <c r="A28" s="6"/>
      <c r="B28" s="6"/>
      <c r="C28" s="6"/>
      <c r="D28" s="6"/>
      <c r="E28" s="6"/>
      <c r="F28" s="6"/>
      <c r="G28" s="6"/>
    </row>
    <row r="29" spans="1:7" ht="7.05" customHeight="1" x14ac:dyDescent="0.3">
      <c r="A29" s="6"/>
      <c r="B29" s="6"/>
      <c r="C29" s="6"/>
      <c r="D29" s="6"/>
      <c r="E29" s="6"/>
      <c r="F29" s="6"/>
      <c r="G29" s="6"/>
    </row>
    <row r="30" spans="1:7" ht="15" customHeight="1" x14ac:dyDescent="0.3">
      <c r="A30" s="23" t="s">
        <v>179</v>
      </c>
      <c r="B30" s="23"/>
      <c r="C30" s="23"/>
      <c r="D30" s="23"/>
      <c r="E30" s="23"/>
      <c r="F30" s="23"/>
    </row>
    <row r="31" spans="1:7" ht="16.05" customHeight="1" x14ac:dyDescent="0.3">
      <c r="A31" s="24" t="s">
        <v>180</v>
      </c>
      <c r="B31" s="33">
        <f>0</f>
        <v>0</v>
      </c>
      <c r="C31" s="33">
        <f>0</f>
        <v>0</v>
      </c>
      <c r="D31" s="33">
        <f>0</f>
        <v>0</v>
      </c>
      <c r="E31" s="33">
        <f>0</f>
        <v>0</v>
      </c>
      <c r="F31" s="33">
        <f>0</f>
        <v>0</v>
      </c>
      <c r="G31" s="6"/>
    </row>
    <row r="32" spans="1:7" ht="16.05" customHeight="1" x14ac:dyDescent="0.3">
      <c r="A32" s="27" t="s">
        <v>181</v>
      </c>
      <c r="B32" s="39">
        <f>0</f>
        <v>0</v>
      </c>
      <c r="C32" s="39">
        <f>0</f>
        <v>0</v>
      </c>
      <c r="D32" s="39">
        <f>0</f>
        <v>0</v>
      </c>
      <c r="E32" s="39">
        <f>0</f>
        <v>0</v>
      </c>
      <c r="F32" s="39">
        <f>0</f>
        <v>0</v>
      </c>
      <c r="G32" s="8"/>
    </row>
    <row r="33" spans="1:7" ht="7.05" customHeight="1" x14ac:dyDescent="0.3">
      <c r="A33" s="6"/>
      <c r="B33" s="6"/>
      <c r="C33" s="6"/>
      <c r="D33" s="6"/>
      <c r="E33" s="6"/>
      <c r="F33" s="6"/>
      <c r="G33" s="6"/>
    </row>
    <row r="34" spans="1:7" ht="18" customHeight="1" x14ac:dyDescent="0.3">
      <c r="A34" s="47" t="s">
        <v>182</v>
      </c>
      <c r="B34" s="48">
        <f>SUM(B31:B32)</f>
        <v>0</v>
      </c>
      <c r="C34" s="48">
        <f>SUM(C31:C32)</f>
        <v>0</v>
      </c>
      <c r="D34" s="48">
        <f>SUM(D31:D32)</f>
        <v>0</v>
      </c>
      <c r="E34" s="48">
        <f>SUM(E31:E32)</f>
        <v>0</v>
      </c>
      <c r="F34" s="48">
        <f>SUM(F31:F32)</f>
        <v>0</v>
      </c>
      <c r="G34" s="49"/>
    </row>
    <row r="35" spans="1:7" ht="7.05" customHeight="1" x14ac:dyDescent="0.3">
      <c r="A35" s="6"/>
      <c r="B35" s="6"/>
      <c r="C35" s="6"/>
      <c r="D35" s="6"/>
      <c r="E35" s="6"/>
      <c r="F35" s="6"/>
      <c r="G35" s="6"/>
    </row>
    <row r="36" spans="1:7" ht="7.05" customHeight="1" x14ac:dyDescent="0.3">
      <c r="A36" s="6"/>
      <c r="B36" s="6"/>
      <c r="C36" s="6"/>
      <c r="D36" s="6"/>
      <c r="E36" s="6"/>
      <c r="F36" s="6"/>
      <c r="G36" s="6"/>
    </row>
    <row r="37" spans="1:7" ht="15" customHeight="1" x14ac:dyDescent="0.3">
      <c r="A37" s="55" t="s">
        <v>183</v>
      </c>
      <c r="B37" s="55"/>
      <c r="C37" s="55"/>
      <c r="D37" s="55"/>
      <c r="E37" s="55"/>
      <c r="F37" s="55"/>
    </row>
    <row r="38" spans="1:7" ht="18" customHeight="1" x14ac:dyDescent="0.3">
      <c r="A38" s="47" t="s">
        <v>184</v>
      </c>
      <c r="B38" s="48">
        <f>B19+B27+B34</f>
        <v>445.09589041095751</v>
      </c>
      <c r="C38" s="48">
        <f>C19+C27+C34</f>
        <v>390617.61616438354</v>
      </c>
      <c r="D38" s="48">
        <f>D19+D27+D34</f>
        <v>672893.51994285802</v>
      </c>
      <c r="E38" s="48">
        <f>E19+E27+E34</f>
        <v>950235.54153187876</v>
      </c>
      <c r="F38" s="48">
        <f>F19+F27+F34</f>
        <v>1216111.0154380018</v>
      </c>
      <c r="G38" s="49"/>
    </row>
    <row r="39" spans="1:7" ht="16.05" customHeight="1" x14ac:dyDescent="0.3">
      <c r="A39" s="27" t="s">
        <v>185</v>
      </c>
      <c r="B39" s="51">
        <f>Assumptions!B43</f>
        <v>300000</v>
      </c>
      <c r="C39" s="51">
        <f>B40</f>
        <v>300445.09589041094</v>
      </c>
      <c r="D39" s="51">
        <f>C40</f>
        <v>691062.71205479442</v>
      </c>
      <c r="E39" s="51">
        <f>D40</f>
        <v>1363956.2319976524</v>
      </c>
      <c r="F39" s="51">
        <f>E40</f>
        <v>2314191.7735295314</v>
      </c>
      <c r="G39" s="8"/>
    </row>
    <row r="40" spans="1:7" ht="18" customHeight="1" x14ac:dyDescent="0.3">
      <c r="A40" s="52" t="s">
        <v>186</v>
      </c>
      <c r="B40" s="53">
        <f>B38+B39</f>
        <v>300445.09589041094</v>
      </c>
      <c r="C40" s="53">
        <f>C38+C39</f>
        <v>691062.71205479442</v>
      </c>
      <c r="D40" s="53">
        <f>D38+D39</f>
        <v>1363956.2319976524</v>
      </c>
      <c r="E40" s="53">
        <f>E38+E39</f>
        <v>2314191.7735295314</v>
      </c>
      <c r="F40" s="53">
        <f>F38+F39</f>
        <v>3530302.788967533</v>
      </c>
      <c r="G40" s="49"/>
    </row>
    <row r="41" spans="1:7" ht="7.05" customHeight="1" x14ac:dyDescent="0.3">
      <c r="A41" s="6"/>
      <c r="B41" s="6"/>
      <c r="C41" s="6"/>
      <c r="D41" s="6"/>
      <c r="E41" s="6"/>
      <c r="F41" s="6"/>
      <c r="G41" s="6"/>
    </row>
    <row r="42" spans="1:7" ht="7.05" customHeight="1" x14ac:dyDescent="0.3">
      <c r="A42" s="6"/>
      <c r="B42" s="6"/>
      <c r="C42" s="6"/>
      <c r="D42" s="6"/>
      <c r="E42" s="6"/>
      <c r="F42" s="6"/>
      <c r="G42" s="6"/>
    </row>
    <row r="43" spans="1:7" ht="15" customHeight="1" x14ac:dyDescent="0.3">
      <c r="A43" s="54" t="s">
        <v>187</v>
      </c>
      <c r="B43" s="54"/>
      <c r="C43" s="54"/>
      <c r="D43" s="54"/>
      <c r="E43" s="54"/>
      <c r="F43" s="54"/>
    </row>
    <row r="44" spans="1:7" ht="16.05" customHeight="1" x14ac:dyDescent="0.3">
      <c r="A44" s="24" t="s">
        <v>188</v>
      </c>
      <c r="B44" s="50">
        <f>'Income Statement'!B40</f>
        <v>0</v>
      </c>
      <c r="C44" s="50">
        <f>'Income Statement'!C40</f>
        <v>0</v>
      </c>
      <c r="D44" s="50">
        <f>'Income Statement'!D40</f>
        <v>7955.3247091967123</v>
      </c>
      <c r="E44" s="50">
        <f>'Income Statement'!E40</f>
        <v>106004.61064599415</v>
      </c>
      <c r="F44" s="50">
        <f>'Income Statement'!F40</f>
        <v>217163.25511348291</v>
      </c>
      <c r="G44" s="6"/>
    </row>
    <row r="45" spans="1:7" ht="16.05" customHeight="1" x14ac:dyDescent="0.3">
      <c r="A45" s="27" t="s">
        <v>189</v>
      </c>
      <c r="B45" s="39">
        <f>0</f>
        <v>0</v>
      </c>
      <c r="C45" s="39">
        <f>0</f>
        <v>0</v>
      </c>
      <c r="D45" s="39">
        <f>0</f>
        <v>0</v>
      </c>
      <c r="E45" s="39">
        <f>0</f>
        <v>0</v>
      </c>
      <c r="F45" s="39">
        <f>0</f>
        <v>0</v>
      </c>
      <c r="G45" s="8"/>
    </row>
    <row r="46" spans="1:7" ht="16.05" customHeight="1" x14ac:dyDescent="0.3">
      <c r="A46" s="24" t="s">
        <v>190</v>
      </c>
      <c r="B46" s="33">
        <f>B19+B27</f>
        <v>445.09589041095751</v>
      </c>
      <c r="C46" s="33">
        <f>C19+C27</f>
        <v>390617.61616438354</v>
      </c>
      <c r="D46" s="33">
        <f>D19+D27</f>
        <v>672893.51994285802</v>
      </c>
      <c r="E46" s="33">
        <f>E19+E27</f>
        <v>950235.54153187876</v>
      </c>
      <c r="F46" s="33">
        <f>F19+F27</f>
        <v>1216111.0154380018</v>
      </c>
      <c r="G46" s="6"/>
    </row>
    <row r="47" spans="1:7" ht="7.05" customHeight="1" x14ac:dyDescent="0.3">
      <c r="A47" s="6"/>
      <c r="B47" s="6"/>
      <c r="C47" s="6"/>
      <c r="D47" s="6"/>
      <c r="E47" s="6"/>
      <c r="F47" s="6"/>
      <c r="G47" s="6"/>
    </row>
    <row r="48" spans="1:7" ht="61.2" x14ac:dyDescent="0.3">
      <c r="A48" s="37" t="s">
        <v>191</v>
      </c>
    </row>
  </sheetData>
  <sheetProtection algorithmName="SHA-512" hashValue="UKUojkAAYQPoaiBizobdSAxUISsORu92GBASE+pM+v5KmLI3qfGVOSINJ5JsKp0btOusK5uzmC0QX37hn181ZQ==" saltValue="UzOGn8hILzwlzWhdP0OeJA==" spinCount="100000" sheet="1" objects="1" scenarios="1"/>
  <pageMargins left="0.5" right="0.5" top="0.75" bottom="0.75" header="0.5" footer="0.5"/>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5A32"/>
  </sheetPr>
  <dimension ref="A1:G45"/>
  <sheetViews>
    <sheetView showGridLines="0" workbookViewId="0">
      <pane xSplit="1" ySplit="6" topLeftCell="B7" activePane="bottomRight" state="frozen"/>
      <selection pane="topRight"/>
      <selection pane="bottomLeft"/>
      <selection pane="bottomRight"/>
    </sheetView>
  </sheetViews>
  <sheetFormatPr defaultRowHeight="14.4" x14ac:dyDescent="0.3"/>
  <cols>
    <col min="1" max="1" width="40" customWidth="1"/>
    <col min="2" max="6" width="13" customWidth="1"/>
    <col min="7" max="7" width="28" customWidth="1"/>
  </cols>
  <sheetData>
    <row r="1" spans="1:7" ht="31.95" customHeight="1" x14ac:dyDescent="0.3">
      <c r="A1" s="19" t="s">
        <v>192</v>
      </c>
    </row>
    <row r="2" spans="1:7" ht="18" customHeight="1" x14ac:dyDescent="0.3">
      <c r="A2" s="20" t="s">
        <v>44</v>
      </c>
    </row>
    <row r="3" spans="1:7" ht="13.95" customHeight="1" x14ac:dyDescent="0.3">
      <c r="A3" s="21" t="s">
        <v>193</v>
      </c>
    </row>
    <row r="6" spans="1:7" ht="24" customHeight="1" x14ac:dyDescent="0.3">
      <c r="A6" s="22" t="s">
        <v>24</v>
      </c>
      <c r="B6" s="22" t="s">
        <v>25</v>
      </c>
      <c r="C6" s="22" t="s">
        <v>26</v>
      </c>
      <c r="D6" s="22" t="s">
        <v>27</v>
      </c>
      <c r="E6" s="22" t="s">
        <v>28</v>
      </c>
      <c r="F6" s="22" t="s">
        <v>29</v>
      </c>
      <c r="G6" s="22" t="s">
        <v>194</v>
      </c>
    </row>
    <row r="8" spans="1:7" ht="7.05" customHeight="1" x14ac:dyDescent="0.3">
      <c r="A8" s="6"/>
      <c r="B8" s="6"/>
      <c r="C8" s="6"/>
      <c r="D8" s="6"/>
      <c r="E8" s="6"/>
      <c r="F8" s="6"/>
      <c r="G8" s="6"/>
    </row>
    <row r="9" spans="1:7" ht="15" customHeight="1" x14ac:dyDescent="0.3">
      <c r="A9" s="23" t="s">
        <v>195</v>
      </c>
      <c r="B9" s="23"/>
      <c r="C9" s="23"/>
      <c r="D9" s="23"/>
      <c r="E9" s="23"/>
      <c r="F9" s="23"/>
      <c r="G9" s="23"/>
    </row>
    <row r="10" spans="1:7" ht="20.399999999999999" x14ac:dyDescent="0.3">
      <c r="A10" s="60" t="s">
        <v>196</v>
      </c>
      <c r="B10" s="61">
        <f>'Balance Sheet'!B14/'Balance Sheet'!B32</f>
        <v>1.8830859093957686</v>
      </c>
      <c r="C10" s="61">
        <f>'Balance Sheet'!C14/'Balance Sheet'!C32</f>
        <v>2.6428175171186825</v>
      </c>
      <c r="D10" s="61">
        <f>'Balance Sheet'!D14/'Balance Sheet'!D32</f>
        <v>3.6453576062242936</v>
      </c>
      <c r="E10" s="61">
        <f>'Balance Sheet'!E14/'Balance Sheet'!E32</f>
        <v>4.487442901331101</v>
      </c>
      <c r="F10" s="61">
        <f>'Balance Sheet'!F14/'Balance Sheet'!F32</f>
        <v>5.169474773409835</v>
      </c>
      <c r="G10" s="62" t="s">
        <v>197</v>
      </c>
    </row>
    <row r="11" spans="1:7" ht="16.95" customHeight="1" x14ac:dyDescent="0.3">
      <c r="A11" s="63" t="s">
        <v>198</v>
      </c>
      <c r="B11" s="64">
        <f>('Balance Sheet'!B10+'Balance Sheet'!B11)/'Balance Sheet'!B32</f>
        <v>1.77626315468569</v>
      </c>
      <c r="C11" s="64">
        <f>('Balance Sheet'!C10+'Balance Sheet'!C11)/'Balance Sheet'!C32</f>
        <v>2.5340854374314734</v>
      </c>
      <c r="D11" s="64">
        <f>('Balance Sheet'!D10+'Balance Sheet'!D11)/'Balance Sheet'!D32</f>
        <v>3.5366255265370841</v>
      </c>
      <c r="E11" s="64">
        <f>('Balance Sheet'!E10+'Balance Sheet'!E11)/'Balance Sheet'!E32</f>
        <v>4.3787108216438924</v>
      </c>
      <c r="F11" s="64">
        <f>('Balance Sheet'!F10+'Balance Sheet'!F11)/'Balance Sheet'!F32</f>
        <v>5.0607426937226263</v>
      </c>
      <c r="G11" s="65" t="s">
        <v>199</v>
      </c>
    </row>
    <row r="12" spans="1:7" ht="16.95" customHeight="1" x14ac:dyDescent="0.3">
      <c r="A12" s="60" t="s">
        <v>200</v>
      </c>
      <c r="B12" s="61">
        <f>'Balance Sheet'!B10/'Balance Sheet'!B32</f>
        <v>1.3372655325894762</v>
      </c>
      <c r="C12" s="61">
        <f>'Balance Sheet'!C10/'Balance Sheet'!C32</f>
        <v>2.0872412743333539</v>
      </c>
      <c r="D12" s="61">
        <f>'Balance Sheet'!D10/'Balance Sheet'!D32</f>
        <v>3.0897813634389646</v>
      </c>
      <c r="E12" s="61">
        <f>'Balance Sheet'!E10/'Balance Sheet'!E32</f>
        <v>3.9318666585457724</v>
      </c>
      <c r="F12" s="61">
        <f>'Balance Sheet'!F10/'Balance Sheet'!F32</f>
        <v>4.6138985306245068</v>
      </c>
      <c r="G12" s="62" t="s">
        <v>201</v>
      </c>
    </row>
    <row r="13" spans="1:7" ht="7.05" customHeight="1" x14ac:dyDescent="0.3">
      <c r="A13" s="6"/>
      <c r="B13" s="6"/>
      <c r="C13" s="6"/>
      <c r="D13" s="6"/>
      <c r="E13" s="6"/>
      <c r="F13" s="6"/>
      <c r="G13" s="6"/>
    </row>
    <row r="14" spans="1:7" ht="15" customHeight="1" x14ac:dyDescent="0.3">
      <c r="A14" s="23" t="s">
        <v>202</v>
      </c>
      <c r="B14" s="23"/>
      <c r="C14" s="23"/>
      <c r="D14" s="23"/>
      <c r="E14" s="23"/>
      <c r="F14" s="23"/>
      <c r="G14" s="23"/>
    </row>
    <row r="15" spans="1:7" ht="16.95" customHeight="1" x14ac:dyDescent="0.3">
      <c r="A15" s="60" t="s">
        <v>33</v>
      </c>
      <c r="B15" s="66">
        <f>'Income Statement'!B18/'Income Statement'!B12</f>
        <v>0.76</v>
      </c>
      <c r="C15" s="66">
        <f>'Income Statement'!C18/'Income Statement'!C12</f>
        <v>0.8</v>
      </c>
      <c r="D15" s="66">
        <f>'Income Statement'!D18/'Income Statement'!D12</f>
        <v>0.8</v>
      </c>
      <c r="E15" s="66">
        <f>'Income Statement'!E18/'Income Statement'!E12</f>
        <v>0.8</v>
      </c>
      <c r="F15" s="66">
        <f>'Income Statement'!F18/'Income Statement'!F12</f>
        <v>0.8</v>
      </c>
      <c r="G15" s="62" t="s">
        <v>203</v>
      </c>
    </row>
    <row r="16" spans="1:7" ht="16.95" customHeight="1" x14ac:dyDescent="0.3">
      <c r="A16" s="63" t="s">
        <v>36</v>
      </c>
      <c r="B16" s="67">
        <f>'Income Statement'!B28/'Income Statement'!B12</f>
        <v>0.01</v>
      </c>
      <c r="C16" s="67">
        <f>'Income Statement'!C28/'Income Statement'!C12</f>
        <v>0.23</v>
      </c>
      <c r="D16" s="67">
        <f>'Income Statement'!D28/'Income Statement'!D12</f>
        <v>0.29000000000000004</v>
      </c>
      <c r="E16" s="67">
        <f>'Income Statement'!E28/'Income Statement'!E12</f>
        <v>0.33</v>
      </c>
      <c r="F16" s="67">
        <f>'Income Statement'!F28/'Income Statement'!F12</f>
        <v>0.34000000000000008</v>
      </c>
      <c r="G16" s="65" t="s">
        <v>204</v>
      </c>
    </row>
    <row r="17" spans="1:7" ht="20.399999999999999" x14ac:dyDescent="0.3">
      <c r="A17" s="60" t="s">
        <v>205</v>
      </c>
      <c r="B17" s="66">
        <f>'Income Statement'!B33/'Income Statement'!B12</f>
        <v>0</v>
      </c>
      <c r="C17" s="66">
        <f>'Income Statement'!C33/'Income Statement'!C12</f>
        <v>0.22</v>
      </c>
      <c r="D17" s="66">
        <f>'Income Statement'!D33/'Income Statement'!D12</f>
        <v>0.27999974999374988</v>
      </c>
      <c r="E17" s="66">
        <f>'Income Statement'!E33/'Income Statement'!E12</f>
        <v>0.32062453123242135</v>
      </c>
      <c r="F17" s="66">
        <f>'Income Statement'!F33/'Income Statement'!F12</f>
        <v>0.33134572113761973</v>
      </c>
      <c r="G17" s="62" t="s">
        <v>206</v>
      </c>
    </row>
    <row r="18" spans="1:7" ht="20.399999999999999" x14ac:dyDescent="0.3">
      <c r="A18" s="68" t="s">
        <v>38</v>
      </c>
      <c r="B18" s="69">
        <f>'Income Statement'!B42/'Income Statement'!B12</f>
        <v>2E-3</v>
      </c>
      <c r="C18" s="69">
        <f>'Income Statement'!C42/'Income Statement'!C12</f>
        <v>0.2225037091324201</v>
      </c>
      <c r="D18" s="69">
        <f>'Income Statement'!D42/'Income Statement'!D12</f>
        <v>0.2824439484036681</v>
      </c>
      <c r="E18" s="69">
        <f>'Income Statement'!E42/'Income Statement'!E12</f>
        <v>0.29815287489925796</v>
      </c>
      <c r="F18" s="69">
        <f>'Income Statement'!F42/'Income Statement'!F12</f>
        <v>0.29583012280595877</v>
      </c>
      <c r="G18" s="65" t="s">
        <v>207</v>
      </c>
    </row>
    <row r="19" spans="1:7" ht="16.95" customHeight="1" x14ac:dyDescent="0.3">
      <c r="A19" s="60" t="s">
        <v>208</v>
      </c>
      <c r="B19" s="66">
        <f>'Income Statement'!B42/(((Assumptions!B43+Assumptions!B44+Assumptions!B45+Assumptions!B46+Assumptions!B47+Assumptions!B48)+'Balance Sheet'!B23)/2)</f>
        <v>4.6734830519551537E-3</v>
      </c>
      <c r="C19" s="66">
        <f>'Income Statement'!C42/(('Balance Sheet'!B23+'Balance Sheet'!C23)/2)</f>
        <v>0.49657787153387484</v>
      </c>
      <c r="D19" s="66">
        <f>'Income Statement'!D42/(('Balance Sheet'!C23+'Balance Sheet'!D23)/2)</f>
        <v>0.46616491830747697</v>
      </c>
      <c r="E19" s="66">
        <f>'Income Statement'!E42/(('Balance Sheet'!D23+'Balance Sheet'!E23)/2)</f>
        <v>0.39771894700039118</v>
      </c>
      <c r="F19" s="66">
        <f>'Income Statement'!F42/(('Balance Sheet'!E23+'Balance Sheet'!F23)/2)</f>
        <v>0.33687598781235445</v>
      </c>
      <c r="G19" s="62" t="s">
        <v>209</v>
      </c>
    </row>
    <row r="20" spans="1:7" ht="16.95" customHeight="1" x14ac:dyDescent="0.3">
      <c r="A20" s="63" t="s">
        <v>210</v>
      </c>
      <c r="B20" s="67">
        <f>'Income Statement'!B42/(((Assumptions!B52+Assumptions!B53)+'Balance Sheet'!B46)/2)</f>
        <v>7.3349633251833741E-3</v>
      </c>
      <c r="C20" s="67">
        <f>'Income Statement'!C42/(('Balance Sheet'!B46+'Balance Sheet'!C46)/2)</f>
        <v>0.75759793324582636</v>
      </c>
      <c r="D20" s="67">
        <f>'Income Statement'!D42/(('Balance Sheet'!C46+'Balance Sheet'!D46)/2)</f>
        <v>0.63479011833785026</v>
      </c>
      <c r="E20" s="67">
        <f>'Income Statement'!E42/(('Balance Sheet'!D46+'Balance Sheet'!E46)/2)</f>
        <v>0.50645167959083348</v>
      </c>
      <c r="F20" s="67">
        <f>'Income Statement'!F42/(('Balance Sheet'!E46+'Balance Sheet'!F46)/2)</f>
        <v>0.41349243722631412</v>
      </c>
      <c r="G20" s="65" t="s">
        <v>211</v>
      </c>
    </row>
    <row r="21" spans="1:7" ht="7.05" customHeight="1" x14ac:dyDescent="0.3">
      <c r="A21" s="6"/>
      <c r="B21" s="6"/>
      <c r="C21" s="6"/>
      <c r="D21" s="6"/>
      <c r="E21" s="6"/>
      <c r="F21" s="6"/>
      <c r="G21" s="6"/>
    </row>
    <row r="22" spans="1:7" ht="15" customHeight="1" x14ac:dyDescent="0.3">
      <c r="A22" s="23" t="s">
        <v>212</v>
      </c>
      <c r="B22" s="23"/>
      <c r="C22" s="23"/>
      <c r="D22" s="23"/>
      <c r="E22" s="23"/>
      <c r="F22" s="23"/>
      <c r="G22" s="23"/>
    </row>
    <row r="23" spans="1:7" ht="16.95" customHeight="1" x14ac:dyDescent="0.3">
      <c r="A23" s="60" t="s">
        <v>213</v>
      </c>
      <c r="B23" s="61">
        <f>'Income Statement'!B12/'Balance Sheet'!B23</f>
        <v>2.1697024337324331</v>
      </c>
      <c r="C23" s="61">
        <f>'Income Statement'!C12/'Balance Sheet'!C23</f>
        <v>1.6981200680575821</v>
      </c>
      <c r="D23" s="61">
        <f>'Income Statement'!D12/'Balance Sheet'!D23</f>
        <v>1.2985309504659246</v>
      </c>
      <c r="E23" s="61">
        <f>'Income Statement'!E12/'Balance Sheet'!E23</f>
        <v>1.0849232172503909</v>
      </c>
      <c r="F23" s="61">
        <f>'Income Statement'!F12/'Balance Sheet'!F23</f>
        <v>0.95483983577942133</v>
      </c>
      <c r="G23" s="62" t="s">
        <v>214</v>
      </c>
    </row>
    <row r="24" spans="1:7" ht="16.95" customHeight="1" x14ac:dyDescent="0.3">
      <c r="A24" s="63" t="s">
        <v>215</v>
      </c>
      <c r="B24" s="70">
        <f>Assumptions!B32</f>
        <v>30</v>
      </c>
      <c r="C24" s="70">
        <f>Assumptions!C32</f>
        <v>30</v>
      </c>
      <c r="D24" s="70">
        <f>Assumptions!D32</f>
        <v>30</v>
      </c>
      <c r="E24" s="70">
        <f>Assumptions!E32</f>
        <v>30</v>
      </c>
      <c r="F24" s="70">
        <f>Assumptions!F32</f>
        <v>30</v>
      </c>
      <c r="G24" s="65" t="s">
        <v>216</v>
      </c>
    </row>
    <row r="25" spans="1:7" ht="16.95" customHeight="1" x14ac:dyDescent="0.3">
      <c r="A25" s="60" t="s">
        <v>217</v>
      </c>
      <c r="B25" s="71">
        <f>Assumptions!B33</f>
        <v>30</v>
      </c>
      <c r="C25" s="71">
        <f>Assumptions!C33</f>
        <v>30</v>
      </c>
      <c r="D25" s="71">
        <f>Assumptions!D33</f>
        <v>30</v>
      </c>
      <c r="E25" s="71">
        <f>Assumptions!E33</f>
        <v>30</v>
      </c>
      <c r="F25" s="71">
        <f>Assumptions!F33</f>
        <v>30</v>
      </c>
      <c r="G25" s="62" t="s">
        <v>218</v>
      </c>
    </row>
    <row r="26" spans="1:7" ht="7.05" customHeight="1" x14ac:dyDescent="0.3">
      <c r="A26" s="6"/>
      <c r="B26" s="6"/>
      <c r="C26" s="6"/>
      <c r="D26" s="6"/>
      <c r="E26" s="6"/>
      <c r="F26" s="6"/>
      <c r="G26" s="6"/>
    </row>
    <row r="27" spans="1:7" ht="15" customHeight="1" x14ac:dyDescent="0.3">
      <c r="A27" s="23" t="s">
        <v>219</v>
      </c>
      <c r="B27" s="23"/>
      <c r="C27" s="23"/>
      <c r="D27" s="23"/>
      <c r="E27" s="23"/>
      <c r="F27" s="23"/>
      <c r="G27" s="23"/>
    </row>
    <row r="28" spans="1:7" ht="16.95" customHeight="1" x14ac:dyDescent="0.3">
      <c r="A28" s="60" t="s">
        <v>112</v>
      </c>
      <c r="B28" s="72">
        <f>'Income Statement'!B47</f>
        <v>1080000</v>
      </c>
      <c r="C28" s="72">
        <f>'Income Statement'!C47</f>
        <v>1620000</v>
      </c>
      <c r="D28" s="72">
        <f>'Income Statement'!D47</f>
        <v>2159946</v>
      </c>
      <c r="E28" s="72">
        <f>'Income Statement'!E47</f>
        <v>2879856.0017999997</v>
      </c>
      <c r="F28" s="72">
        <f>'Income Statement'!F47</f>
        <v>3743812.8023399999</v>
      </c>
      <c r="G28" s="62" t="s">
        <v>220</v>
      </c>
    </row>
    <row r="29" spans="1:7" ht="16.95" customHeight="1" x14ac:dyDescent="0.3">
      <c r="A29" s="63" t="s">
        <v>113</v>
      </c>
      <c r="B29" s="73">
        <f>'Income Statement'!B48</f>
        <v>90000</v>
      </c>
      <c r="C29" s="73">
        <f>'Income Statement'!C48</f>
        <v>135000</v>
      </c>
      <c r="D29" s="73">
        <f>'Income Statement'!D48</f>
        <v>179995.5</v>
      </c>
      <c r="E29" s="73">
        <f>'Income Statement'!E48</f>
        <v>239988.00014999998</v>
      </c>
      <c r="F29" s="73">
        <f>'Income Statement'!F48</f>
        <v>311984.40019499999</v>
      </c>
      <c r="G29" s="65" t="s">
        <v>221</v>
      </c>
    </row>
    <row r="30" spans="1:7" ht="16.95" customHeight="1" x14ac:dyDescent="0.3">
      <c r="A30" s="60" t="s">
        <v>222</v>
      </c>
      <c r="B30" s="66" t="s">
        <v>50</v>
      </c>
      <c r="C30" s="66">
        <f>'Income Statement'!C47/'Income Statement'!B47-1</f>
        <v>0.5</v>
      </c>
      <c r="D30" s="66">
        <f>'Income Statement'!D47/'Income Statement'!C47-1</f>
        <v>0.33329999999999993</v>
      </c>
      <c r="E30" s="66">
        <f>'Income Statement'!E47/'Income Statement'!D47-1</f>
        <v>0.33329999999999993</v>
      </c>
      <c r="F30" s="66">
        <f>'Income Statement'!F47/'Income Statement'!E47-1</f>
        <v>0.30000000000000004</v>
      </c>
      <c r="G30" s="62" t="s">
        <v>223</v>
      </c>
    </row>
    <row r="31" spans="1:7" ht="20.399999999999999" x14ac:dyDescent="0.3">
      <c r="A31" s="63" t="s">
        <v>224</v>
      </c>
      <c r="B31" s="67">
        <f>'Income Statement'!B47/'Income Statement'!B12</f>
        <v>0.9</v>
      </c>
      <c r="C31" s="67">
        <f>'Income Statement'!C47/'Income Statement'!C12</f>
        <v>0.9</v>
      </c>
      <c r="D31" s="67">
        <f>'Income Statement'!D47/'Income Statement'!D12</f>
        <v>0.9</v>
      </c>
      <c r="E31" s="67">
        <f>'Income Statement'!E47/'Income Statement'!E12</f>
        <v>0.89999999999999991</v>
      </c>
      <c r="F31" s="67">
        <f>'Income Statement'!F47/'Income Statement'!F12</f>
        <v>0.9</v>
      </c>
      <c r="G31" s="65" t="s">
        <v>225</v>
      </c>
    </row>
    <row r="32" spans="1:7" ht="16.95" customHeight="1" x14ac:dyDescent="0.3">
      <c r="A32" s="60" t="s">
        <v>226</v>
      </c>
      <c r="B32" s="61">
        <f>'Income Statement'!B12/'Income Statement'!B22</f>
        <v>2.6315789473684212</v>
      </c>
      <c r="C32" s="61">
        <f>'Income Statement'!C12/'Income Statement'!C22</f>
        <v>3.5714285714285712</v>
      </c>
      <c r="D32" s="61">
        <f>'Income Statement'!D12/'Income Statement'!D22</f>
        <v>4</v>
      </c>
      <c r="E32" s="61">
        <f>'Income Statement'!E12/'Income Statement'!E22</f>
        <v>4.3478260869565215</v>
      </c>
      <c r="F32" s="61">
        <f>'Income Statement'!F12/'Income Statement'!F22</f>
        <v>4.5454545454545459</v>
      </c>
      <c r="G32" s="62" t="s">
        <v>227</v>
      </c>
    </row>
    <row r="33" spans="1:7" ht="7.05" customHeight="1" x14ac:dyDescent="0.3">
      <c r="A33" s="6"/>
      <c r="B33" s="6"/>
      <c r="C33" s="6"/>
      <c r="D33" s="6"/>
      <c r="E33" s="6"/>
      <c r="F33" s="6"/>
      <c r="G33" s="6"/>
    </row>
    <row r="34" spans="1:7" ht="15" customHeight="1" x14ac:dyDescent="0.3">
      <c r="A34" s="23" t="s">
        <v>228</v>
      </c>
      <c r="B34" s="23"/>
      <c r="C34" s="23"/>
      <c r="D34" s="23"/>
      <c r="E34" s="23"/>
      <c r="F34" s="23"/>
      <c r="G34" s="23"/>
    </row>
    <row r="35" spans="1:7" ht="16.95" customHeight="1" x14ac:dyDescent="0.3">
      <c r="A35" s="60" t="s">
        <v>229</v>
      </c>
      <c r="B35" s="66">
        <f>'Balance Sheet'!B40/'Balance Sheet'!B23</f>
        <v>0.40622476730189083</v>
      </c>
      <c r="C35" s="66">
        <f>'Balance Sheet'!C40/'Balance Sheet'!C23</f>
        <v>0.31234941388826276</v>
      </c>
      <c r="D35" s="66">
        <f>'Balance Sheet'!D40/'Balance Sheet'!D23</f>
        <v>0.23884964845727677</v>
      </c>
      <c r="E35" s="66">
        <f>'Balance Sheet'!E40/'Balance Sheet'!E23</f>
        <v>0.19955899314561126</v>
      </c>
      <c r="F35" s="66">
        <f>'Balance Sheet'!F40/'Balance Sheet'!F23</f>
        <v>0.17563166979353673</v>
      </c>
      <c r="G35" s="62" t="s">
        <v>230</v>
      </c>
    </row>
    <row r="36" spans="1:7" ht="20.399999999999999" x14ac:dyDescent="0.3">
      <c r="A36" s="63" t="s">
        <v>231</v>
      </c>
      <c r="B36" s="64">
        <f>'Balance Sheet'!B23/'Balance Sheet'!B46</f>
        <v>1.6841389551666028</v>
      </c>
      <c r="C36" s="64">
        <f>'Balance Sheet'!C23/'Balance Sheet'!C46</f>
        <v>1.4542269289035528</v>
      </c>
      <c r="D36" s="64">
        <f>'Balance Sheet'!D23/'Balance Sheet'!D46</f>
        <v>1.3138008778070833</v>
      </c>
      <c r="E36" s="64">
        <f>'Balance Sheet'!E23/'Balance Sheet'!E46</f>
        <v>1.2493113064382444</v>
      </c>
      <c r="F36" s="64">
        <f>'Balance Sheet'!F23/'Balance Sheet'!F46</f>
        <v>1.2130499964130712</v>
      </c>
      <c r="G36" s="65" t="s">
        <v>232</v>
      </c>
    </row>
    <row r="37" spans="1:7" ht="7.05" customHeight="1" x14ac:dyDescent="0.3">
      <c r="A37" s="6"/>
      <c r="B37" s="6"/>
      <c r="C37" s="6"/>
      <c r="D37" s="6"/>
      <c r="E37" s="6"/>
      <c r="F37" s="6"/>
      <c r="G37" s="6"/>
    </row>
    <row r="38" spans="1:7" ht="15" customHeight="1" x14ac:dyDescent="0.3">
      <c r="A38" s="23" t="s">
        <v>233</v>
      </c>
      <c r="B38" s="23"/>
      <c r="C38" s="23"/>
      <c r="D38" s="23"/>
      <c r="E38" s="23"/>
      <c r="F38" s="23"/>
      <c r="G38" s="23"/>
    </row>
    <row r="39" spans="1:7" ht="20.399999999999999" x14ac:dyDescent="0.3">
      <c r="A39" s="60" t="s">
        <v>234</v>
      </c>
      <c r="B39" s="72">
        <f>'Cash Flow'!B19</f>
        <v>76441.095890410958</v>
      </c>
      <c r="C39" s="72">
        <f>'Cash Flow'!C19</f>
        <v>463609.41616438353</v>
      </c>
      <c r="D39" s="72">
        <f>'Cash Flow'!D19</f>
        <v>750891.56994285807</v>
      </c>
      <c r="E39" s="72">
        <f>'Cash Flow'!E19</f>
        <v>1049430.5815938788</v>
      </c>
      <c r="F39" s="72">
        <f>'Cash Flow'!F19</f>
        <v>1345064.5675186019</v>
      </c>
      <c r="G39" s="62" t="s">
        <v>235</v>
      </c>
    </row>
    <row r="40" spans="1:7" ht="20.399999999999999" x14ac:dyDescent="0.3">
      <c r="A40" s="63" t="s">
        <v>236</v>
      </c>
      <c r="B40" s="73">
        <f>-('Cash Flow'!B23+'Cash Flow'!B24)</f>
        <v>63996</v>
      </c>
      <c r="C40" s="73">
        <f>-('Cash Flow'!C23+'Cash Flow'!C24)</f>
        <v>72991.799999999988</v>
      </c>
      <c r="D40" s="73">
        <f>-('Cash Flow'!D23+'Cash Flow'!D24)</f>
        <v>77998.05</v>
      </c>
      <c r="E40" s="73">
        <f>-('Cash Flow'!E23+'Cash Flow'!E24)</f>
        <v>99195.040062</v>
      </c>
      <c r="F40" s="73">
        <f>-('Cash Flow'!F23+'Cash Flow'!F24)</f>
        <v>128953.5520806</v>
      </c>
      <c r="G40" s="65" t="s">
        <v>237</v>
      </c>
    </row>
    <row r="41" spans="1:7" ht="16.95" customHeight="1" x14ac:dyDescent="0.3">
      <c r="A41" s="60" t="s">
        <v>238</v>
      </c>
      <c r="B41" s="72">
        <f>'Cash Flow'!B46</f>
        <v>445.09589041095751</v>
      </c>
      <c r="C41" s="72">
        <f>'Cash Flow'!C46</f>
        <v>390617.61616438354</v>
      </c>
      <c r="D41" s="72">
        <f>'Cash Flow'!D46</f>
        <v>672893.51994285802</v>
      </c>
      <c r="E41" s="72">
        <f>'Cash Flow'!E46</f>
        <v>950235.54153187876</v>
      </c>
      <c r="F41" s="72">
        <f>'Cash Flow'!F46</f>
        <v>1216111.0154380018</v>
      </c>
      <c r="G41" s="62" t="s">
        <v>239</v>
      </c>
    </row>
    <row r="42" spans="1:7" ht="16.95" customHeight="1" x14ac:dyDescent="0.3">
      <c r="A42" s="68" t="s">
        <v>240</v>
      </c>
      <c r="B42" s="69">
        <f>'Cash Flow'!B46/'Income Statement'!B12</f>
        <v>3.7091324200913127E-4</v>
      </c>
      <c r="C42" s="69">
        <f>'Cash Flow'!C46/'Income Statement'!C12</f>
        <v>0.21700978675799085</v>
      </c>
      <c r="D42" s="69">
        <f>'Cash Flow'!D46/'Income Statement'!D12</f>
        <v>0.28037930945892731</v>
      </c>
      <c r="E42" s="69">
        <f>'Cash Flow'!E46/'Income Statement'!E12</f>
        <v>0.29696345471584573</v>
      </c>
      <c r="F42" s="69">
        <f>'Cash Flow'!F46/'Income Statement'!F12</f>
        <v>0.29234899597813896</v>
      </c>
      <c r="G42" s="65" t="s">
        <v>241</v>
      </c>
    </row>
    <row r="43" spans="1:7" ht="20.399999999999999" x14ac:dyDescent="0.3">
      <c r="A43" s="60" t="s">
        <v>242</v>
      </c>
      <c r="B43" s="61">
        <f>IF('Income Statement'!B42&lt;&gt;0,'Cash Flow'!B46/'Income Statement'!B42,"N/A")</f>
        <v>0.18545662100456564</v>
      </c>
      <c r="C43" s="61">
        <f>IF('Income Statement'!C42&lt;&gt;0,'Cash Flow'!C46/'Income Statement'!C42,"N/A")</f>
        <v>0.97530862565909138</v>
      </c>
      <c r="D43" s="61">
        <f>IF('Income Statement'!D42&lt;&gt;0,'Cash Flow'!D46/'Income Statement'!D42,"N/A")</f>
        <v>0.99269009317986867</v>
      </c>
      <c r="E43" s="61">
        <f>IF('Income Statement'!E42&lt;&gt;0,'Cash Flow'!E46/'Income Statement'!E42,"N/A")</f>
        <v>0.9960107036237229</v>
      </c>
      <c r="F43" s="61">
        <f>IF('Income Statement'!F42&lt;&gt;0,'Cash Flow'!F46/'Income Statement'!F42,"N/A")</f>
        <v>0.9882326830182091</v>
      </c>
      <c r="G43" s="62" t="s">
        <v>243</v>
      </c>
    </row>
    <row r="44" spans="1:7" ht="7.05" customHeight="1" x14ac:dyDescent="0.3">
      <c r="A44" s="6"/>
      <c r="B44" s="6"/>
      <c r="C44" s="6"/>
      <c r="D44" s="6"/>
      <c r="E44" s="6"/>
      <c r="F44" s="6"/>
      <c r="G44" s="6"/>
    </row>
    <row r="45" spans="1:7" ht="61.2" x14ac:dyDescent="0.3">
      <c r="A45" s="37" t="s">
        <v>244</v>
      </c>
    </row>
  </sheetData>
  <sheetProtection algorithmName="SHA-512" hashValue="iAL4kxAkxi6WCWpTiALfOrmAxgWD3MbBe+WLTSq9Qer2rvJ3pol+vSIIp5NlbES1NMcWdIbckHwXaaq4VRccDw==" saltValue="Ts2/hwlCIX00V+aZyoTIww==" spinCount="100000" sheet="1" objects="1" scenarios="1"/>
  <pageMargins left="0.5" right="0.5" top="0.75" bottom="0.75" header="0.5" footer="0.5"/>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D8801-7063-4BCF-8863-EB15EB18FF9A}">
  <dimension ref="A1:F32"/>
  <sheetViews>
    <sheetView showGridLines="0" zoomScaleNormal="100" workbookViewId="0">
      <selection sqref="A1:F2"/>
    </sheetView>
  </sheetViews>
  <sheetFormatPr defaultColWidth="8.6640625" defaultRowHeight="14.4" x14ac:dyDescent="0.3"/>
  <cols>
    <col min="1" max="1" width="28" style="88" customWidth="1"/>
    <col min="2" max="2" width="34" style="88" customWidth="1"/>
    <col min="3" max="3" width="14" style="88" customWidth="1"/>
    <col min="4" max="4" width="36" style="88" customWidth="1"/>
    <col min="5" max="5" width="14" style="88" customWidth="1"/>
    <col min="6" max="6" width="16" style="88" customWidth="1"/>
    <col min="7" max="16384" width="8.6640625" style="88"/>
  </cols>
  <sheetData>
    <row r="1" spans="1:6" ht="30" customHeight="1" x14ac:dyDescent="0.3">
      <c r="A1" s="109" t="s">
        <v>301</v>
      </c>
      <c r="B1" s="109"/>
      <c r="C1" s="109"/>
      <c r="D1" s="109"/>
      <c r="E1" s="109"/>
      <c r="F1" s="109"/>
    </row>
    <row r="2" spans="1:6" x14ac:dyDescent="0.3">
      <c r="A2" s="109"/>
      <c r="B2" s="109"/>
      <c r="C2" s="109"/>
      <c r="D2" s="109"/>
      <c r="E2" s="109"/>
      <c r="F2" s="109"/>
    </row>
    <row r="3" spans="1:6" ht="18" customHeight="1" x14ac:dyDescent="0.3">
      <c r="A3" s="108" t="s">
        <v>300</v>
      </c>
      <c r="B3" s="108"/>
      <c r="C3" s="108"/>
      <c r="D3" s="108"/>
      <c r="E3" s="108"/>
      <c r="F3" s="108"/>
    </row>
    <row r="4" spans="1:6" ht="7.5" customHeight="1" x14ac:dyDescent="0.3">
      <c r="A4" s="90"/>
      <c r="B4" s="90"/>
      <c r="C4" s="90"/>
      <c r="D4" s="90"/>
      <c r="E4" s="90"/>
      <c r="F4" s="90"/>
    </row>
    <row r="5" spans="1:6" ht="21.75" customHeight="1" x14ac:dyDescent="0.3">
      <c r="A5" s="95" t="s">
        <v>299</v>
      </c>
      <c r="B5" s="95"/>
      <c r="C5" s="95"/>
      <c r="D5" s="95"/>
      <c r="E5" s="95"/>
      <c r="F5" s="95"/>
    </row>
    <row r="6" spans="1:6" x14ac:dyDescent="0.3">
      <c r="A6" s="107" t="s">
        <v>298</v>
      </c>
      <c r="B6" s="107" t="s">
        <v>297</v>
      </c>
      <c r="C6" s="107" t="s">
        <v>296</v>
      </c>
      <c r="D6" s="107" t="s">
        <v>295</v>
      </c>
      <c r="E6" s="107" t="s">
        <v>294</v>
      </c>
      <c r="F6" s="107" t="s">
        <v>293</v>
      </c>
    </row>
    <row r="7" spans="1:6" ht="24" x14ac:dyDescent="0.3">
      <c r="A7" s="101">
        <v>1</v>
      </c>
      <c r="B7" s="102" t="s">
        <v>292</v>
      </c>
      <c r="C7" s="101" t="s">
        <v>281</v>
      </c>
      <c r="D7" s="102" t="s">
        <v>291</v>
      </c>
      <c r="E7" s="106" t="s">
        <v>279</v>
      </c>
      <c r="F7" s="110">
        <v>46143</v>
      </c>
    </row>
    <row r="8" spans="1:6" ht="16.5" customHeight="1" x14ac:dyDescent="0.3">
      <c r="A8" s="103">
        <v>2</v>
      </c>
      <c r="B8" s="105" t="s">
        <v>290</v>
      </c>
      <c r="C8" s="103" t="s">
        <v>281</v>
      </c>
      <c r="D8" s="105" t="s">
        <v>289</v>
      </c>
      <c r="E8" s="104" t="s">
        <v>279</v>
      </c>
      <c r="F8" s="111">
        <v>46143</v>
      </c>
    </row>
    <row r="9" spans="1:6" ht="24" x14ac:dyDescent="0.3">
      <c r="A9" s="101">
        <v>3</v>
      </c>
      <c r="B9" s="102" t="s">
        <v>288</v>
      </c>
      <c r="C9" s="101" t="s">
        <v>281</v>
      </c>
      <c r="D9" s="102" t="s">
        <v>287</v>
      </c>
      <c r="E9" s="106" t="s">
        <v>279</v>
      </c>
      <c r="F9" s="110">
        <v>46143</v>
      </c>
    </row>
    <row r="10" spans="1:6" ht="24" x14ac:dyDescent="0.3">
      <c r="A10" s="103">
        <v>4</v>
      </c>
      <c r="B10" s="105" t="s">
        <v>286</v>
      </c>
      <c r="C10" s="103" t="s">
        <v>281</v>
      </c>
      <c r="D10" s="105" t="s">
        <v>285</v>
      </c>
      <c r="E10" s="104" t="s">
        <v>279</v>
      </c>
      <c r="F10" s="111">
        <v>46143</v>
      </c>
    </row>
    <row r="11" spans="1:6" ht="16.5" customHeight="1" x14ac:dyDescent="0.3">
      <c r="A11" s="101">
        <v>5</v>
      </c>
      <c r="B11" s="102" t="s">
        <v>284</v>
      </c>
      <c r="C11" s="101" t="s">
        <v>281</v>
      </c>
      <c r="D11" s="102" t="s">
        <v>283</v>
      </c>
      <c r="E11" s="106" t="s">
        <v>279</v>
      </c>
      <c r="F11" s="110">
        <v>46143</v>
      </c>
    </row>
    <row r="12" spans="1:6" ht="16.5" customHeight="1" x14ac:dyDescent="0.3">
      <c r="A12" s="103">
        <v>6</v>
      </c>
      <c r="B12" s="105" t="s">
        <v>282</v>
      </c>
      <c r="C12" s="103" t="s">
        <v>281</v>
      </c>
      <c r="D12" s="105" t="s">
        <v>280</v>
      </c>
      <c r="E12" s="104" t="s">
        <v>279</v>
      </c>
      <c r="F12" s="111">
        <v>46143</v>
      </c>
    </row>
    <row r="13" spans="1:6" ht="21.75" customHeight="1" x14ac:dyDescent="0.3">
      <c r="A13" s="101">
        <v>7</v>
      </c>
      <c r="B13" s="102" t="s">
        <v>278</v>
      </c>
      <c r="C13" s="101" t="s">
        <v>277</v>
      </c>
      <c r="D13" s="102" t="s">
        <v>276</v>
      </c>
      <c r="E13" s="101" t="s">
        <v>275</v>
      </c>
      <c r="F13" s="101" t="s">
        <v>274</v>
      </c>
    </row>
    <row r="14" spans="1:6" x14ac:dyDescent="0.3">
      <c r="A14" s="90"/>
      <c r="B14" s="90"/>
      <c r="C14" s="90"/>
      <c r="D14" s="90"/>
      <c r="E14" s="90"/>
      <c r="F14" s="90"/>
    </row>
    <row r="15" spans="1:6" ht="21.75" customHeight="1" x14ac:dyDescent="0.3">
      <c r="A15" s="95" t="s">
        <v>273</v>
      </c>
      <c r="B15" s="95"/>
      <c r="C15" s="95"/>
      <c r="D15" s="95"/>
      <c r="E15" s="95"/>
      <c r="F15" s="95"/>
    </row>
    <row r="16" spans="1:6" ht="21.75" customHeight="1" x14ac:dyDescent="0.3">
      <c r="A16" s="100" t="s">
        <v>272</v>
      </c>
      <c r="B16" s="99" t="s">
        <v>271</v>
      </c>
      <c r="C16" s="99"/>
      <c r="D16" s="99"/>
      <c r="E16" s="99"/>
      <c r="F16" s="99"/>
    </row>
    <row r="17" spans="1:6" ht="21.75" customHeight="1" x14ac:dyDescent="0.3">
      <c r="A17" s="97" t="s">
        <v>270</v>
      </c>
      <c r="B17" s="98" t="s">
        <v>269</v>
      </c>
      <c r="C17" s="98"/>
      <c r="D17" s="98"/>
      <c r="E17" s="98"/>
      <c r="F17" s="98"/>
    </row>
    <row r="18" spans="1:6" ht="21.75" customHeight="1" x14ac:dyDescent="0.3">
      <c r="A18" s="97" t="s">
        <v>268</v>
      </c>
      <c r="B18" s="96" t="s">
        <v>267</v>
      </c>
      <c r="C18" s="96"/>
      <c r="D18" s="96"/>
      <c r="E18" s="96"/>
      <c r="F18" s="96"/>
    </row>
    <row r="19" spans="1:6" ht="21.75" customHeight="1" x14ac:dyDescent="0.3">
      <c r="A19" s="97" t="s">
        <v>266</v>
      </c>
      <c r="B19" s="98" t="s">
        <v>265</v>
      </c>
      <c r="C19" s="98"/>
      <c r="D19" s="98"/>
      <c r="E19" s="98"/>
      <c r="F19" s="98"/>
    </row>
    <row r="20" spans="1:6" ht="21.75" customHeight="1" x14ac:dyDescent="0.3">
      <c r="A20" s="97" t="s">
        <v>264</v>
      </c>
      <c r="B20" s="96" t="s">
        <v>263</v>
      </c>
      <c r="C20" s="96"/>
      <c r="D20" s="96"/>
      <c r="E20" s="96"/>
      <c r="F20" s="96"/>
    </row>
    <row r="21" spans="1:6" ht="21.75" customHeight="1" x14ac:dyDescent="0.3">
      <c r="A21" s="97" t="s">
        <v>262</v>
      </c>
      <c r="B21" s="98" t="s">
        <v>261</v>
      </c>
      <c r="C21" s="98"/>
      <c r="D21" s="98"/>
      <c r="E21" s="98"/>
      <c r="F21" s="98"/>
    </row>
    <row r="22" spans="1:6" ht="15" customHeight="1" x14ac:dyDescent="0.3">
      <c r="A22" s="97" t="s">
        <v>260</v>
      </c>
      <c r="B22" s="96" t="s">
        <v>259</v>
      </c>
      <c r="C22" s="96"/>
      <c r="D22" s="96"/>
      <c r="E22" s="96"/>
      <c r="F22" s="96"/>
    </row>
    <row r="23" spans="1:6" ht="21.75" customHeight="1" x14ac:dyDescent="0.3">
      <c r="A23" s="90"/>
      <c r="B23" s="90"/>
      <c r="C23" s="90"/>
      <c r="D23" s="90"/>
      <c r="E23" s="90"/>
      <c r="F23" s="90"/>
    </row>
    <row r="24" spans="1:6" ht="16.5" customHeight="1" x14ac:dyDescent="0.3">
      <c r="A24" s="95" t="s">
        <v>258</v>
      </c>
      <c r="B24" s="95"/>
      <c r="C24" s="95"/>
      <c r="D24" s="95"/>
      <c r="E24" s="95"/>
      <c r="F24" s="95"/>
    </row>
    <row r="25" spans="1:6" ht="16.5" customHeight="1" x14ac:dyDescent="0.3">
      <c r="A25" s="92" t="s">
        <v>257</v>
      </c>
      <c r="B25" s="91" t="s">
        <v>256</v>
      </c>
      <c r="C25" s="91"/>
      <c r="D25" s="91"/>
      <c r="E25" s="91"/>
      <c r="F25" s="91"/>
    </row>
    <row r="26" spans="1:6" ht="16.5" customHeight="1" x14ac:dyDescent="0.3">
      <c r="A26" s="94" t="s">
        <v>255</v>
      </c>
      <c r="B26" s="93" t="s">
        <v>254</v>
      </c>
      <c r="C26" s="93"/>
      <c r="D26" s="93"/>
      <c r="E26" s="93"/>
      <c r="F26" s="93"/>
    </row>
    <row r="27" spans="1:6" ht="16.5" customHeight="1" x14ac:dyDescent="0.3">
      <c r="A27" s="92" t="s">
        <v>253</v>
      </c>
      <c r="B27" s="91" t="s">
        <v>252</v>
      </c>
      <c r="C27" s="91"/>
      <c r="D27" s="91"/>
      <c r="E27" s="91"/>
      <c r="F27" s="91"/>
    </row>
    <row r="28" spans="1:6" ht="16.5" customHeight="1" x14ac:dyDescent="0.3">
      <c r="A28" s="94" t="s">
        <v>251</v>
      </c>
      <c r="B28" s="93" t="s">
        <v>250</v>
      </c>
      <c r="C28" s="93"/>
      <c r="D28" s="93"/>
      <c r="E28" s="93"/>
      <c r="F28" s="93"/>
    </row>
    <row r="29" spans="1:6" ht="16.5" customHeight="1" x14ac:dyDescent="0.3">
      <c r="A29" s="92" t="s">
        <v>249</v>
      </c>
      <c r="B29" s="91" t="s">
        <v>248</v>
      </c>
      <c r="C29" s="91"/>
      <c r="D29" s="91"/>
      <c r="E29" s="91"/>
      <c r="F29" s="91"/>
    </row>
    <row r="30" spans="1:6" ht="16.5" customHeight="1" x14ac:dyDescent="0.3">
      <c r="A30" s="92" t="s">
        <v>247</v>
      </c>
      <c r="B30" s="91" t="s">
        <v>302</v>
      </c>
      <c r="C30" s="91"/>
      <c r="D30" s="91"/>
      <c r="E30" s="91"/>
      <c r="F30" s="91"/>
    </row>
    <row r="31" spans="1:6" x14ac:dyDescent="0.3">
      <c r="A31" s="90"/>
      <c r="B31" s="90"/>
      <c r="C31" s="90"/>
      <c r="D31" s="90"/>
      <c r="E31" s="90"/>
      <c r="F31" s="90"/>
    </row>
    <row r="32" spans="1:6" ht="27.75" customHeight="1" x14ac:dyDescent="0.3">
      <c r="A32" s="89" t="s">
        <v>246</v>
      </c>
      <c r="B32" s="89"/>
      <c r="C32" s="89"/>
      <c r="D32" s="89"/>
      <c r="E32" s="89"/>
      <c r="F32" s="89"/>
    </row>
  </sheetData>
  <sheetProtection algorithmName="SHA-512" hashValue="94ylfiVHkpWjsvO0oI81OZkXSxM0cZaOu2GLesIqT+4QvydBX02yqgrS0YMtNGT+sdtv8EznkUppCRGZ47NdCw==" saltValue="sT2J1hopbxUYmRJ1yUf8LQ==" spinCount="100000" sheet="1" objects="1" scenarios="1"/>
  <mergeCells count="19">
    <mergeCell ref="B17:F17"/>
    <mergeCell ref="B18:F18"/>
    <mergeCell ref="B19:F19"/>
    <mergeCell ref="B20:F20"/>
    <mergeCell ref="B21:F21"/>
    <mergeCell ref="A1:F2"/>
    <mergeCell ref="A3:F3"/>
    <mergeCell ref="A5:F5"/>
    <mergeCell ref="A15:F15"/>
    <mergeCell ref="B16:F16"/>
    <mergeCell ref="B28:F28"/>
    <mergeCell ref="B29:F29"/>
    <mergeCell ref="B30:F30"/>
    <mergeCell ref="A32:F32"/>
    <mergeCell ref="B22:F22"/>
    <mergeCell ref="A24:F24"/>
    <mergeCell ref="B25:F25"/>
    <mergeCell ref="B26:F26"/>
    <mergeCell ref="B27:F27"/>
  </mergeCells>
  <pageMargins left="0.5" right="0.5" top="0.5" bottom="0.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Assumptions</vt:lpstr>
      <vt:lpstr>Income Statement</vt:lpstr>
      <vt:lpstr>Balance Sheet</vt:lpstr>
      <vt:lpstr>Cash Flow</vt:lpstr>
      <vt:lpstr>Ratio Analysis</vt:lpstr>
      <vt:lpstr>Deliverables &amp; Contact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cp:lastModifiedBy>
  <dcterms:created xsi:type="dcterms:W3CDTF">2026-06-02T11:55:24Z</dcterms:created>
  <dcterms:modified xsi:type="dcterms:W3CDTF">2026-06-03T05:53:27Z</dcterms:modified>
</cp:coreProperties>
</file>